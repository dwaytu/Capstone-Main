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sia Tagum\Desktop\"/>
    </mc:Choice>
  </mc:AlternateContent>
  <xr:revisionPtr revIDLastSave="0" documentId="13_ncr:1_{DBDBC05D-E3E6-40BA-BEC3-43F66B3962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RCH" sheetId="1" r:id="rId1"/>
    <sheet name="Sheet1" sheetId="21" r:id="rId2"/>
    <sheet name="PULL OUT ." sheetId="18" r:id="rId3"/>
    <sheet name="FA-RETURNED TO GHQ" sheetId="20" r:id="rId4"/>
  </sheets>
  <definedNames>
    <definedName name="_xlnm.Print_Area" localSheetId="0">MARCH!$A$2:$O$305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C318" i="1"/>
  <c r="C312" i="1"/>
  <c r="G138" i="18"/>
  <c r="E85" i="1"/>
</calcChain>
</file>

<file path=xl/sharedStrings.xml><?xml version="1.0" encoding="utf-8"?>
<sst xmlns="http://schemas.openxmlformats.org/spreadsheetml/2006/main" count="2381" uniqueCount="1008">
  <si>
    <t>DAVAO SECURITY AND INVESTIGATION AGENCY, INC.,</t>
  </si>
  <si>
    <t>DR. GONZALES STREEET, PUROK ORANGE VALLEY, BARANGAY MAGUG-PO SOUTH, TAGUM CITY</t>
  </si>
  <si>
    <t>No.</t>
  </si>
  <si>
    <t>CLIENT'S</t>
  </si>
  <si>
    <t>SECURITY GUARDS</t>
  </si>
  <si>
    <t>Contact Number</t>
  </si>
  <si>
    <t>SECURITY LICENSE</t>
  </si>
  <si>
    <t>FIREARMS</t>
  </si>
  <si>
    <t>License No.</t>
  </si>
  <si>
    <t>Expiry Date</t>
  </si>
  <si>
    <t>Kind</t>
  </si>
  <si>
    <t>Make</t>
  </si>
  <si>
    <t>Caliber</t>
  </si>
  <si>
    <t>Serial No.</t>
  </si>
  <si>
    <t>Validity</t>
  </si>
  <si>
    <t>ACTUAL</t>
  </si>
  <si>
    <t>Ammos.</t>
  </si>
  <si>
    <t xml:space="preserve"> BPI PIONEER BRANCH </t>
  </si>
  <si>
    <t>Pistol</t>
  </si>
  <si>
    <t>Armscor</t>
  </si>
  <si>
    <t>9mm</t>
  </si>
  <si>
    <t>9/1mag.</t>
  </si>
  <si>
    <t>MASINADING, JANELITO T.</t>
  </si>
  <si>
    <t>SHOTGUN</t>
  </si>
  <si>
    <t>Akkar</t>
  </si>
  <si>
    <t>12ga</t>
  </si>
  <si>
    <t>Shotgun</t>
  </si>
  <si>
    <t>METAL DETECTOR</t>
  </si>
  <si>
    <t>BPI APOKON BRANCH</t>
  </si>
  <si>
    <t>ORONOS, ROLLY</t>
  </si>
  <si>
    <t>R1120210628668</t>
  </si>
  <si>
    <t>6/1mag</t>
  </si>
  <si>
    <t>BAGSAC, RODRIGO</t>
  </si>
  <si>
    <t>A1196744</t>
  </si>
  <si>
    <t>BPI PANABO BRANCH</t>
  </si>
  <si>
    <t>CABANAG, REYSAN</t>
  </si>
  <si>
    <t>7/1mag</t>
  </si>
  <si>
    <t>CERT</t>
  </si>
  <si>
    <t>BPI MATI BRANCH</t>
  </si>
  <si>
    <t>Revolver</t>
  </si>
  <si>
    <t>38cal</t>
  </si>
  <si>
    <t>DEMUA, NORDIL</t>
  </si>
  <si>
    <t>0965-9364-210</t>
  </si>
  <si>
    <t>Rock Island</t>
  </si>
  <si>
    <t>RIA1818217</t>
  </si>
  <si>
    <t>BPI-Direct Banko Tagum Branch</t>
  </si>
  <si>
    <t>BASA, XIEL BRYAN N.</t>
  </si>
  <si>
    <t>5/1mag</t>
  </si>
  <si>
    <t>BPI-Direct Banko Panabo Branch</t>
  </si>
  <si>
    <t>BPI-Direct Banko Mati Branch</t>
  </si>
  <si>
    <t>BANDIGAN, WARREN CLIFFORD</t>
  </si>
  <si>
    <t xml:space="preserve">BPI-Direct Banko Nabunturan Branch </t>
  </si>
  <si>
    <t>PARREÑO, JETHRON</t>
  </si>
  <si>
    <t>0951-9442-009</t>
  </si>
  <si>
    <t>BPI-Direct Banko compostela Branch</t>
  </si>
  <si>
    <t>BPI-Direct Banko montevista Branch</t>
  </si>
  <si>
    <t>BPI-Direct Banko Sto Thomas Branch</t>
  </si>
  <si>
    <t>8/1mag</t>
  </si>
  <si>
    <t>RCBC TAGUM BRANCH</t>
  </si>
  <si>
    <t>BALUSAN, WILLIAM</t>
  </si>
  <si>
    <t>0996-9954-305</t>
  </si>
  <si>
    <t>9MM</t>
  </si>
  <si>
    <t>0935-0728-200</t>
  </si>
  <si>
    <t>R1A1884348</t>
  </si>
  <si>
    <t>LATOZA, BEN</t>
  </si>
  <si>
    <t>0961-5733-146</t>
  </si>
  <si>
    <t>Karatay</t>
  </si>
  <si>
    <t>MEPICO, ROBERTO R. JR.</t>
  </si>
  <si>
    <t>0997-8063-265</t>
  </si>
  <si>
    <t>LAGUMBAY, REY L.</t>
  </si>
  <si>
    <t>0916-9071-605</t>
  </si>
  <si>
    <t>RCBC PANABO BRANCH</t>
  </si>
  <si>
    <t>PISTOL</t>
  </si>
  <si>
    <t>0965-5416-523</t>
  </si>
  <si>
    <t>R1A1955195</t>
  </si>
  <si>
    <t>R1A1884358</t>
  </si>
  <si>
    <t>RCBC NABUNTURAN BRANCH</t>
  </si>
  <si>
    <t>VILLAFLOR, ABE KING B.</t>
  </si>
  <si>
    <t>LAPAR, DIONRHY D.</t>
  </si>
  <si>
    <t>0936-1413-993</t>
  </si>
  <si>
    <t xml:space="preserve">RMB-Tagum Branch </t>
  </si>
  <si>
    <t>REY BALANSAG</t>
  </si>
  <si>
    <t>PATEÑO, ARNOLD L.</t>
  </si>
  <si>
    <t>0910-4004-944</t>
  </si>
  <si>
    <t>METROBANK MATI BRANCH</t>
  </si>
  <si>
    <t>ORADA, ROBERT</t>
  </si>
  <si>
    <t>0955-4715-666</t>
  </si>
  <si>
    <t>Rizal Street, Mati City</t>
  </si>
  <si>
    <t xml:space="preserve">Davao Oriental </t>
  </si>
  <si>
    <t>0997-5377-367</t>
  </si>
  <si>
    <t>DUAY, JULIUS</t>
  </si>
  <si>
    <t>0950-4060-491</t>
  </si>
  <si>
    <t>UM TAGUM CAMPUS</t>
  </si>
  <si>
    <t>PALMA, FORTUNATO</t>
  </si>
  <si>
    <t>0907-6155-023</t>
  </si>
  <si>
    <t>Arellano Street, cor. Mabini Street</t>
  </si>
  <si>
    <t>AMBUHOT, ALBERT</t>
  </si>
  <si>
    <t>0975-8133-054</t>
  </si>
  <si>
    <t>Ayt7880</t>
  </si>
  <si>
    <t>BACIA, JINILITO</t>
  </si>
  <si>
    <t>0948-5065-131</t>
  </si>
  <si>
    <t>SBR121211-03204024</t>
  </si>
  <si>
    <t>REVOLVER</t>
  </si>
  <si>
    <t>.38cal</t>
  </si>
  <si>
    <t>DOMINGO, EDWIN</t>
  </si>
  <si>
    <t>0906-7631-972</t>
  </si>
  <si>
    <t>PACINO WILMAR</t>
  </si>
  <si>
    <t xml:space="preserve">VISAYAN  </t>
  </si>
  <si>
    <t>GOLOSINO, ALLAN JAY</t>
  </si>
  <si>
    <t>FULGUERINAS, REX</t>
  </si>
  <si>
    <t>0955-1358-436</t>
  </si>
  <si>
    <t>radio</t>
  </si>
  <si>
    <t>SALAS, REYMUNDO</t>
  </si>
  <si>
    <t>0918-3739-917</t>
  </si>
  <si>
    <t>metal detector</t>
  </si>
  <si>
    <t>LATOZA, RENEIL</t>
  </si>
  <si>
    <t>0975-3831-768</t>
  </si>
  <si>
    <t>SBR19668373</t>
  </si>
  <si>
    <t>LAPLANA, LIEZEL</t>
  </si>
  <si>
    <t>0976-2653-829</t>
  </si>
  <si>
    <t>REVILLA, DIOSDADO</t>
  </si>
  <si>
    <t xml:space="preserve">UM PANABO CAMPUS </t>
  </si>
  <si>
    <t>BARBARONA, RENANTE</t>
  </si>
  <si>
    <t>0930-7194-454</t>
  </si>
  <si>
    <t>SBR19667879</t>
  </si>
  <si>
    <t>Panabo City</t>
  </si>
  <si>
    <t>ONGCOY,RHENBRANTH R.</t>
  </si>
  <si>
    <t>828-6437</t>
  </si>
  <si>
    <t>BAG-AO, FRANKLIN</t>
  </si>
  <si>
    <t>0951-3882-521</t>
  </si>
  <si>
    <t>JAMELARIN JERRY</t>
  </si>
  <si>
    <t>PHILHEALTH-Tagum Branch</t>
  </si>
  <si>
    <t xml:space="preserve">Lapu-lapu St., </t>
  </si>
  <si>
    <t>BALOYO DAVY,R</t>
  </si>
  <si>
    <t>0905-9070-064</t>
  </si>
  <si>
    <t>Tagum City</t>
  </si>
  <si>
    <t>BESAS,ISMAEL</t>
  </si>
  <si>
    <t>R11202204000013</t>
  </si>
  <si>
    <t>REYES HANSEL BOY</t>
  </si>
  <si>
    <t>0965-2501-250</t>
  </si>
  <si>
    <t>PEROTE, RYAN</t>
  </si>
  <si>
    <t>0955-4228-329</t>
  </si>
  <si>
    <t>PHILHEALTH-Nabunturan Branch</t>
  </si>
  <si>
    <t>VILLARIN, JONATHAN</t>
  </si>
  <si>
    <t>0965-2274-386</t>
  </si>
  <si>
    <t>R1120210603001</t>
  </si>
  <si>
    <t>DE JESUS MELLICENT,V</t>
  </si>
  <si>
    <t>0997-5834-000</t>
  </si>
  <si>
    <t>0930-4587-550</t>
  </si>
  <si>
    <t>DOMINGCIL, EDDIE</t>
  </si>
  <si>
    <t>0910-1698-362</t>
  </si>
  <si>
    <t>CANANIA JOHN PAUL</t>
  </si>
  <si>
    <t>0906-3304767</t>
  </si>
  <si>
    <t>PHILHEALTH-Mati Branch</t>
  </si>
  <si>
    <t>EMCOR-TAGUM BRANCH</t>
  </si>
  <si>
    <t>BOLOTAOLO JOHN MARK</t>
  </si>
  <si>
    <t>Rizal St., Tagum City</t>
  </si>
  <si>
    <t>38CAL</t>
  </si>
  <si>
    <t>R1120201002065</t>
  </si>
  <si>
    <t>BUO,MARIEL S.</t>
  </si>
  <si>
    <t xml:space="preserve">Nat'l Highway </t>
  </si>
  <si>
    <t>EMCOR-PANABO BRANCH</t>
  </si>
  <si>
    <t>ONGCAY,ELMO</t>
  </si>
  <si>
    <t>SALANG, DIONESIO C.</t>
  </si>
  <si>
    <t>0955-2969-439</t>
  </si>
  <si>
    <t>R1120190200782</t>
  </si>
  <si>
    <t>REMIS,MARLON C.</t>
  </si>
  <si>
    <t>Cabaluna st.,</t>
  </si>
  <si>
    <t>BALDOMERO, GEALYN</t>
  </si>
  <si>
    <t>0975-1980-130</t>
  </si>
  <si>
    <t xml:space="preserve"> EMCOR-NABUNTURAN BRANCH</t>
  </si>
  <si>
    <t>VILLANUEVA, BILLY JOY</t>
  </si>
  <si>
    <t>0946-8675-801</t>
  </si>
  <si>
    <t>SBR#18386126</t>
  </si>
  <si>
    <t>PANTOJAN, ROMULO</t>
  </si>
  <si>
    <t>0910-0228-845</t>
  </si>
  <si>
    <t>12GA</t>
  </si>
  <si>
    <t>EMCOR-LUPON BRANCH</t>
  </si>
  <si>
    <t>LAO, CARMELITO JR.</t>
  </si>
  <si>
    <t>0909-6883-113</t>
  </si>
  <si>
    <t>R1120200110228</t>
  </si>
  <si>
    <t>PILON, ARNEL</t>
  </si>
  <si>
    <t>0912-7591-868</t>
  </si>
  <si>
    <t>cert. sold point</t>
  </si>
  <si>
    <t>ESCALA, LOUIE</t>
  </si>
  <si>
    <t>0963-8220-035</t>
  </si>
  <si>
    <t>SBR19950460</t>
  </si>
  <si>
    <t>EMCOR-MATI BRANCH</t>
  </si>
  <si>
    <t>PATENTES, HERBERT</t>
  </si>
  <si>
    <t>0975-0940-657</t>
  </si>
  <si>
    <t>Limatoc st.</t>
  </si>
  <si>
    <t>VASQUEZ, ROMEO</t>
  </si>
  <si>
    <t>0926-7917-040</t>
  </si>
  <si>
    <t>National Highway, Mati City</t>
  </si>
  <si>
    <t>DASIA Tagum Branch Office</t>
  </si>
  <si>
    <t>Magugpo South, Tagum City</t>
  </si>
  <si>
    <t>LUENGAS,JASON</t>
  </si>
  <si>
    <t>SBR19203706</t>
  </si>
  <si>
    <t>armscor</t>
  </si>
  <si>
    <t>UBI-BINGCONGAN</t>
  </si>
  <si>
    <t>revolver</t>
  </si>
  <si>
    <t>.38CAL</t>
  </si>
  <si>
    <t xml:space="preserve">UBI-CARAGA, </t>
  </si>
  <si>
    <t>MONGO, ARNEL</t>
  </si>
  <si>
    <t>PANANGCAD, JOSEPH</t>
  </si>
  <si>
    <t>UBI-NANYO, Panabo City</t>
  </si>
  <si>
    <t>0909-2682-803</t>
  </si>
  <si>
    <t>R1120216011950</t>
  </si>
  <si>
    <t>Davao Del Norte</t>
  </si>
  <si>
    <t>AGUILAR,WELLIE</t>
  </si>
  <si>
    <t>0953-3663-336</t>
  </si>
  <si>
    <t>SAM</t>
  </si>
  <si>
    <t>BAÑADOS, JEEAR</t>
  </si>
  <si>
    <t>0968-8561-247</t>
  </si>
  <si>
    <t xml:space="preserve">LUAYON MARJUN ,E </t>
  </si>
  <si>
    <t>0975-4639-035</t>
  </si>
  <si>
    <t>R1120210301860</t>
  </si>
  <si>
    <t>PERON, KENNETH</t>
  </si>
  <si>
    <t>0955-7733-517</t>
  </si>
  <si>
    <t>BALACUIT, JOBANIE</t>
  </si>
  <si>
    <t>SBR19401946</t>
  </si>
  <si>
    <t>IROY, MARLON</t>
  </si>
  <si>
    <t>0965-9431239</t>
  </si>
  <si>
    <t>UBI-QUARRY MABUHAY,</t>
  </si>
  <si>
    <t>SARMIENTO, ARBEN</t>
  </si>
  <si>
    <t>0910-9610-171</t>
  </si>
  <si>
    <t>R1120200901968</t>
  </si>
  <si>
    <t>PIOLO DUTERTE-Ma. Res.</t>
  </si>
  <si>
    <t>ALILONGAN NICANOR</t>
  </si>
  <si>
    <t>Dahican, Mati City</t>
  </si>
  <si>
    <t xml:space="preserve">Shotgun </t>
  </si>
  <si>
    <t>ARMSCOR</t>
  </si>
  <si>
    <t>LBP-TAGUM BR.</t>
  </si>
  <si>
    <t>ROLUNA, RONALD G.</t>
  </si>
  <si>
    <t>0907-6150-143</t>
  </si>
  <si>
    <t>R1120210717113</t>
  </si>
  <si>
    <t>RIA2016683</t>
  </si>
  <si>
    <t>0936-818-5852</t>
  </si>
  <si>
    <t>RIA1776073</t>
  </si>
  <si>
    <t>CATANA, RODEL</t>
  </si>
  <si>
    <t>0965-256-9741</t>
  </si>
  <si>
    <t>PATEÑO, HENRY</t>
  </si>
  <si>
    <t>0926-9671-975</t>
  </si>
  <si>
    <t>R1120200708759</t>
  </si>
  <si>
    <t>ENERIO, JERRY</t>
  </si>
  <si>
    <t>0915-6809-708</t>
  </si>
  <si>
    <t>R112020070859</t>
  </si>
  <si>
    <t>LBP-TAGUM E.O CAPITOL</t>
  </si>
  <si>
    <t>LEWIS, LEVI</t>
  </si>
  <si>
    <t>0935-7166-115</t>
  </si>
  <si>
    <t>RIA2016689</t>
  </si>
  <si>
    <t>DAYOLA, BERLITO</t>
  </si>
  <si>
    <t>0930-6623-288</t>
  </si>
  <si>
    <t>LBP-PANABO BR.</t>
  </si>
  <si>
    <t>MAHINAY, CESAR F.</t>
  </si>
  <si>
    <t>KARATAY</t>
  </si>
  <si>
    <t>SATOR, ROY N.</t>
  </si>
  <si>
    <t>0909-1813-433</t>
  </si>
  <si>
    <t>RIA</t>
  </si>
  <si>
    <t>RIA2016675</t>
  </si>
  <si>
    <t>21/2M</t>
  </si>
  <si>
    <t>CAC, RENATO S. JR.</t>
  </si>
  <si>
    <t>0910-2370-623</t>
  </si>
  <si>
    <t>CONSARBA, RICHARD</t>
  </si>
  <si>
    <t>0912-8972-183</t>
  </si>
  <si>
    <t>LBP-MATI BR.</t>
  </si>
  <si>
    <t>LORENZO, JULIE</t>
  </si>
  <si>
    <t>0966-6810-601</t>
  </si>
  <si>
    <t>R1120210423047</t>
  </si>
  <si>
    <t>RIA2016694</t>
  </si>
  <si>
    <t>21/4mg</t>
  </si>
  <si>
    <t>Rizal st., Mati City</t>
  </si>
  <si>
    <t>SANCHEZ, ZALDY</t>
  </si>
  <si>
    <t>0916-8326-542</t>
  </si>
  <si>
    <t>MANDAGUAY, CLEMENTE</t>
  </si>
  <si>
    <t>0965-0658-821</t>
  </si>
  <si>
    <t>R1120210423048</t>
  </si>
  <si>
    <t>AGAN, EMERSON</t>
  </si>
  <si>
    <t>0905-0469-248</t>
  </si>
  <si>
    <t>R1120210423049</t>
  </si>
  <si>
    <t>GUSTINO, ROLANDO</t>
  </si>
  <si>
    <t>0946-7692-146</t>
  </si>
  <si>
    <t>R1120200708663</t>
  </si>
  <si>
    <t>LBP-NABUNTURAN BR.</t>
  </si>
  <si>
    <t>DAYAP, DARIO</t>
  </si>
  <si>
    <t>0938-3772-911</t>
  </si>
  <si>
    <t>MORENO, FROYD</t>
  </si>
  <si>
    <t>0909-0724-440</t>
  </si>
  <si>
    <t>21/3mag</t>
  </si>
  <si>
    <t>BESTRE, JAKE LEE</t>
  </si>
  <si>
    <t>0975-0512-019</t>
  </si>
  <si>
    <t>DURANO JR., JAIME</t>
  </si>
  <si>
    <t>0946-0971-154</t>
  </si>
  <si>
    <t>CAJES, ROBINZON</t>
  </si>
  <si>
    <t>0930-3496-857</t>
  </si>
  <si>
    <t>BESTRE,JEKERSZON</t>
  </si>
  <si>
    <t xml:space="preserve"> </t>
  </si>
  <si>
    <t>LBP-STO TOMAS</t>
  </si>
  <si>
    <t>LAYASAN.JOHN CARLO</t>
  </si>
  <si>
    <t>sbr196372667</t>
  </si>
  <si>
    <t>AKKAR</t>
  </si>
  <si>
    <t>0910-4343-544</t>
  </si>
  <si>
    <t>MACUA, ENRIQUE</t>
  </si>
  <si>
    <t>0905-8819-606</t>
  </si>
  <si>
    <t>SBR17630830</t>
  </si>
  <si>
    <t>GLOBE CAPITOL MATI</t>
  </si>
  <si>
    <t>QUEZON, SAMUEL</t>
  </si>
  <si>
    <t>0953-1375-605</t>
  </si>
  <si>
    <t>R1120200614321</t>
  </si>
  <si>
    <t>shotgun</t>
  </si>
  <si>
    <t>s&amp;w</t>
  </si>
  <si>
    <t>GERONA, NORBERTO</t>
  </si>
  <si>
    <t>0916-1928-151</t>
  </si>
  <si>
    <t>sbr 19667723</t>
  </si>
  <si>
    <t>INTE, JACKYS</t>
  </si>
  <si>
    <t>0926-9982-740</t>
  </si>
  <si>
    <t>R1120210717062</t>
  </si>
  <si>
    <t>02/31/2024</t>
  </si>
  <si>
    <t>GAMBONG, BRYAN</t>
  </si>
  <si>
    <t>MONTEVISTA</t>
  </si>
  <si>
    <t>FABRE, ADREAN</t>
  </si>
  <si>
    <t>0997-3214-201</t>
  </si>
  <si>
    <t>BUNGAOS, REYNALDO B.</t>
  </si>
  <si>
    <t>0936-627-1126</t>
  </si>
  <si>
    <t>R1120210121355</t>
  </si>
  <si>
    <t>REBUTA, GEORGE</t>
  </si>
  <si>
    <t>0965-2595-346</t>
  </si>
  <si>
    <t>R11202203000390</t>
  </si>
  <si>
    <t>AMAD, ALEXANDER</t>
  </si>
  <si>
    <t>0997-0651-806</t>
  </si>
  <si>
    <t>IDONG, BRENDO</t>
  </si>
  <si>
    <t>0926-8182-042</t>
  </si>
  <si>
    <t>CERVANTES, RICHARD</t>
  </si>
  <si>
    <t>MARTIN, DOMINADOR</t>
  </si>
  <si>
    <t>BUNGAOS, RONEGER</t>
  </si>
  <si>
    <t>ARIATE, FIDEL</t>
  </si>
  <si>
    <t>GLOBE-FOC TAGUM</t>
  </si>
  <si>
    <t>SENABRE, ALMARIO</t>
  </si>
  <si>
    <t>0935-7403-031</t>
  </si>
  <si>
    <t>E7963258</t>
  </si>
  <si>
    <t>AVILA, SAMUEL</t>
  </si>
  <si>
    <t>0955-6840-736</t>
  </si>
  <si>
    <t>SBR19951172</t>
  </si>
  <si>
    <t>MANGUIOB, DARYLL</t>
  </si>
  <si>
    <t>0997-8074-123</t>
  </si>
  <si>
    <t>no/firearm</t>
  </si>
  <si>
    <t>GLOBE-BANTAY KABLE</t>
  </si>
  <si>
    <t>CERVANTES, ANTONY</t>
  </si>
  <si>
    <t>0975-4584-705</t>
  </si>
  <si>
    <t>ARMORED CAR CREWS</t>
  </si>
  <si>
    <t>DRIVER</t>
  </si>
  <si>
    <t>QUIDONG,BETRETO B.</t>
  </si>
  <si>
    <t>ESCORT</t>
  </si>
  <si>
    <t>CORTADO,CHARLES</t>
  </si>
  <si>
    <t>R1120201252017</t>
  </si>
  <si>
    <t>RIA1955192</t>
  </si>
  <si>
    <t>RIA1777508</t>
  </si>
  <si>
    <t>MEDICINE KIT</t>
  </si>
  <si>
    <t>FIRE EXTINGUISHER</t>
  </si>
  <si>
    <t>BLANCO,RALPHY CEMPRON</t>
  </si>
  <si>
    <t>RIA1984336</t>
  </si>
  <si>
    <t>RIA2016677</t>
  </si>
  <si>
    <t>EDILLO,GERSON</t>
  </si>
  <si>
    <t>MANSANADES,ARIEL</t>
  </si>
  <si>
    <t>R1120200707897</t>
  </si>
  <si>
    <t>SANTILLAN GLENN</t>
  </si>
  <si>
    <t>0997-3223-390</t>
  </si>
  <si>
    <t>PROCESS AT GHQ</t>
  </si>
  <si>
    <t>PNB-MATI CITY A/C 6566</t>
  </si>
  <si>
    <t xml:space="preserve"> DRIVER</t>
  </si>
  <si>
    <t>BANDOY, MERCURY INDAC</t>
  </si>
  <si>
    <t>0997-6336-880</t>
  </si>
  <si>
    <t>10/1mag</t>
  </si>
  <si>
    <t xml:space="preserve"> ESCORT</t>
  </si>
  <si>
    <t>ADOLFO, ROGER PALACIO</t>
  </si>
  <si>
    <t>0930-1603-502</t>
  </si>
  <si>
    <t>NACION, CRISTOPHER G.</t>
  </si>
  <si>
    <t>0975-9608-823</t>
  </si>
  <si>
    <t>R1A1884339</t>
  </si>
  <si>
    <t>METRO BANK-TAGUM A/C 3045</t>
  </si>
  <si>
    <t>A1196756</t>
  </si>
  <si>
    <t>R1120210626853</t>
  </si>
  <si>
    <t>RCBC-TAGUM CITY A/C 3024</t>
  </si>
  <si>
    <t>TORNO REYMUND</t>
  </si>
  <si>
    <t>0909-7907-758</t>
  </si>
  <si>
    <t>GULO JOEL</t>
  </si>
  <si>
    <t>0926-5330-207</t>
  </si>
  <si>
    <t>DBP-TAGUM CITY A/C 3045</t>
  </si>
  <si>
    <t>QUIDONG BERNABE B. JR.</t>
  </si>
  <si>
    <t>0909-9595-908</t>
  </si>
  <si>
    <t>CUIZON,REYNALDO</t>
  </si>
  <si>
    <t>RIA1818182</t>
  </si>
  <si>
    <t>CABANES, ROEL</t>
  </si>
  <si>
    <t>0910-9478-338</t>
  </si>
  <si>
    <t>RIA1777505</t>
  </si>
  <si>
    <t>DBP-MATI CITY A/C 6341-A</t>
  </si>
  <si>
    <t>ALISAN, RANDY MATAIS</t>
  </si>
  <si>
    <t>0909-8725-601</t>
  </si>
  <si>
    <t>21/3</t>
  </si>
  <si>
    <t>R1A2074363</t>
  </si>
  <si>
    <t>R1A2074362</t>
  </si>
  <si>
    <t>FIREARMS ON VAULT</t>
  </si>
  <si>
    <t>Serial Number</t>
  </si>
  <si>
    <t>Remarks</t>
  </si>
  <si>
    <t>Serviceable</t>
  </si>
  <si>
    <t>12 Guage Shotgun</t>
  </si>
  <si>
    <t>Amscor</t>
  </si>
  <si>
    <t>38 Caliber Revolver</t>
  </si>
  <si>
    <t>TOTAL</t>
  </si>
  <si>
    <t>HAND HELD RADIO</t>
  </si>
  <si>
    <t>LBP MEDICINE KIT</t>
  </si>
  <si>
    <t>FIRE EXTINGUISHER AT LBP- AC</t>
  </si>
  <si>
    <t>RECAPITULATION</t>
  </si>
  <si>
    <t>A.</t>
  </si>
  <si>
    <t>TOTAL MANPOWER</t>
  </si>
  <si>
    <t>Office Staff</t>
  </si>
  <si>
    <t>Posted Guards</t>
  </si>
  <si>
    <t>ACU Crew's</t>
  </si>
  <si>
    <t>B.</t>
  </si>
  <si>
    <t>TOTAL FIREARMS</t>
  </si>
  <si>
    <t>Posted Issued Firearms</t>
  </si>
  <si>
    <t>ACU Crew's Issued Firearms</t>
  </si>
  <si>
    <t>Firearms on Vault</t>
  </si>
  <si>
    <t>LEGEND:</t>
  </si>
  <si>
    <t>Remaining Post that have not yet Actual or Physical Firearms inventory.</t>
  </si>
  <si>
    <r>
      <t>·</t>
    </r>
    <r>
      <rPr>
        <sz val="7"/>
        <rFont val="Times New Roman"/>
        <family val="1"/>
      </rPr>
      <t xml:space="preserve">         </t>
    </r>
    <r>
      <rPr>
        <b/>
        <sz val="10"/>
        <rFont val="Calibri"/>
        <family val="2"/>
        <scheme val="minor"/>
      </rPr>
      <t>Expired SG License - - - - - -  Red</t>
    </r>
  </si>
  <si>
    <t>Firearm that was Confiscated by the PNP</t>
  </si>
  <si>
    <t>follow up SG license</t>
  </si>
  <si>
    <t>K566493</t>
  </si>
  <si>
    <t>R11202204000568</t>
  </si>
  <si>
    <t>R13202204000226</t>
  </si>
  <si>
    <t>SBR19851227</t>
  </si>
  <si>
    <t>R1120220725809</t>
  </si>
  <si>
    <r>
      <t>ss</t>
    </r>
    <r>
      <rPr>
        <sz val="10"/>
        <color theme="1"/>
        <rFont val="Calibri"/>
        <family val="2"/>
        <scheme val="minor"/>
      </rPr>
      <t>sbr19852393</t>
    </r>
  </si>
  <si>
    <t>R11202204000485</t>
  </si>
  <si>
    <t>04/272025</t>
  </si>
  <si>
    <t>RIA2016698</t>
  </si>
  <si>
    <t>RIA2016669</t>
  </si>
  <si>
    <t>sbr19667264</t>
  </si>
  <si>
    <t>sbr19668147</t>
  </si>
  <si>
    <t>sbr19075505</t>
  </si>
  <si>
    <t>AROSO,JESSIE</t>
  </si>
  <si>
    <t>R1914</t>
  </si>
  <si>
    <t>Winchester</t>
  </si>
  <si>
    <t>Remington</t>
  </si>
  <si>
    <t>R1120200712414</t>
  </si>
  <si>
    <t>9/2magS.</t>
  </si>
  <si>
    <t>22/3MAGS</t>
  </si>
  <si>
    <t>A2GA</t>
  </si>
  <si>
    <t>21/3magS</t>
  </si>
  <si>
    <t>21/3MAG</t>
  </si>
  <si>
    <t>TANDOC,AGUSTIN P.</t>
  </si>
  <si>
    <t>21/3mags</t>
  </si>
  <si>
    <t>ISSUED</t>
  </si>
  <si>
    <t>R11202205000179</t>
  </si>
  <si>
    <t>LAVIÑA,ignacio C.</t>
  </si>
  <si>
    <t xml:space="preserve">  </t>
  </si>
  <si>
    <t>ROCK ISLAND</t>
  </si>
  <si>
    <t>RIA2016691</t>
  </si>
  <si>
    <t>21/3MAGS</t>
  </si>
  <si>
    <t>MOBILE PHONE</t>
  </si>
  <si>
    <t>LIBO-ON, JAYMAR</t>
  </si>
  <si>
    <t>SEQUIÑA,JOENARD</t>
  </si>
  <si>
    <t>LBP-FORECLOSED REPOYARD</t>
  </si>
  <si>
    <t>LINO, JOSEPH T.</t>
  </si>
  <si>
    <t>BANGONAN, AMADO</t>
  </si>
  <si>
    <t>UNTUA, JAID C.</t>
  </si>
  <si>
    <t>MICHAEL B. MOLINA</t>
  </si>
  <si>
    <t>TAGUM BRANCH</t>
  </si>
  <si>
    <t>R11202207000029</t>
  </si>
  <si>
    <t>BALTAR,EDMER</t>
  </si>
  <si>
    <t>JAMIN, JAIME</t>
  </si>
  <si>
    <t>R1120212687572</t>
  </si>
  <si>
    <t>REQUILLO, SALVADOR M.</t>
  </si>
  <si>
    <t>GUMBAHAN,WILLY S.</t>
  </si>
  <si>
    <t>UBI-PROJECT ROAD-MANKILAM</t>
  </si>
  <si>
    <t>DALION,ANDY JOY</t>
  </si>
  <si>
    <t>R11202209000141</t>
  </si>
  <si>
    <t>R20210721529</t>
  </si>
  <si>
    <t>mobile phone</t>
  </si>
  <si>
    <t>R11202203000194</t>
  </si>
  <si>
    <t>UBI-MARAGUSAN</t>
  </si>
  <si>
    <t>MORALES,RONNISON JOHN KINVIN</t>
  </si>
  <si>
    <t>SPECIAL EVENT ISSUE</t>
  </si>
  <si>
    <t>TEMONIO, JOEL SR.</t>
  </si>
  <si>
    <t>PIDO, JAYSON</t>
  </si>
  <si>
    <t>ARIATE,JOHN DAVE</t>
  </si>
  <si>
    <t>SBR19668140</t>
  </si>
  <si>
    <t>reliever</t>
  </si>
  <si>
    <t>OWANO, DEXTER</t>
  </si>
  <si>
    <t>CARILLO, MARJON NMN</t>
  </si>
  <si>
    <t xml:space="preserve">ABARCAR, ARNOLD </t>
  </si>
  <si>
    <t>MAHUSAY, AIZA</t>
  </si>
  <si>
    <t>VALDUEZA, MARYNILA</t>
  </si>
  <si>
    <t>AUDITOR,JHON PAUL</t>
  </si>
  <si>
    <t>MONJAS, GIL ANTHONY</t>
  </si>
  <si>
    <t>R1120210626798</t>
  </si>
  <si>
    <t>LBP-KAPALONG AGRI HUB</t>
  </si>
  <si>
    <t>LBP-LUPON AGRI HUB</t>
  </si>
  <si>
    <t>21/3MGZ</t>
  </si>
  <si>
    <t>R1120229011794</t>
  </si>
  <si>
    <t>FLORENTINO, ERIC</t>
  </si>
  <si>
    <t>R11202211000367</t>
  </si>
  <si>
    <t xml:space="preserve">   </t>
  </si>
  <si>
    <t>GT- BANTAY KABLE DVO DE ORO</t>
  </si>
  <si>
    <t>ROCA,APOLINAR JR.</t>
  </si>
  <si>
    <t>OFFICE FIRE EXTINGUISHER/OFFICE</t>
  </si>
  <si>
    <t>SPOT LIGHT</t>
  </si>
  <si>
    <t>hanheld radio</t>
  </si>
  <si>
    <t>SALINAS JAYLMAR</t>
  </si>
  <si>
    <t>R1120220734960</t>
  </si>
  <si>
    <t>R11202211000332</t>
  </si>
  <si>
    <t>GEMENTIZA,JONRU</t>
  </si>
  <si>
    <t>R11202204003938</t>
  </si>
  <si>
    <t>PHILTOWER</t>
  </si>
  <si>
    <t>R11202204000127</t>
  </si>
  <si>
    <t>r11202211000119</t>
  </si>
  <si>
    <t>ria1818219</t>
  </si>
  <si>
    <t>AGUILAR, RAZEL</t>
  </si>
  <si>
    <t>ria2016682</t>
  </si>
  <si>
    <t>RIA1984341</t>
  </si>
  <si>
    <t>R12202304000050</t>
  </si>
  <si>
    <t>R1120220734064</t>
  </si>
  <si>
    <t>R1120220725718</t>
  </si>
  <si>
    <t>bck up</t>
  </si>
  <si>
    <t>R11202209000162</t>
  </si>
  <si>
    <t>OSORIO, GIL</t>
  </si>
  <si>
    <t>RIA1818196</t>
  </si>
  <si>
    <t>ALJAS JOHNMARK</t>
  </si>
  <si>
    <t>DEMAR RUIZ</t>
  </si>
  <si>
    <t>MONTEVISTA POB.</t>
  </si>
  <si>
    <t>BADAS, MATI</t>
  </si>
  <si>
    <t>MAWAB POB.</t>
  </si>
  <si>
    <t>TUBURAN REALY MAWAB</t>
  </si>
  <si>
    <t>UBI SALVACION PRJCT ROAD</t>
  </si>
  <si>
    <t>BANGCAYAON,MARLO S</t>
  </si>
  <si>
    <t>CALASANG, DONALD</t>
  </si>
  <si>
    <t>R11202303000324</t>
  </si>
  <si>
    <t>SBR16490720</t>
  </si>
  <si>
    <t>R0420210419929</t>
  </si>
  <si>
    <t>R11202304000326</t>
  </si>
  <si>
    <t>CERT/BAGWIS</t>
  </si>
  <si>
    <t>R11202206000507</t>
  </si>
  <si>
    <t>BPI-Direct Banko Kapalong Branch</t>
  </si>
  <si>
    <t>BPI-Direct Banko Cateel Branch</t>
  </si>
  <si>
    <t>BPI-Direct Banko Manay Branch</t>
  </si>
  <si>
    <t>CERVANTES,DENNIS</t>
  </si>
  <si>
    <t>BOQUE, LEONED</t>
  </si>
  <si>
    <t>Metal Detector</t>
  </si>
  <si>
    <t>R1120232000186</t>
  </si>
  <si>
    <t>R1120220101443</t>
  </si>
  <si>
    <t xml:space="preserve">            </t>
  </si>
  <si>
    <t>CERT/bagwis</t>
  </si>
  <si>
    <t>sbr19950772</t>
  </si>
  <si>
    <t>SBR19851468</t>
  </si>
  <si>
    <t>R1120211001204</t>
  </si>
  <si>
    <t>R11202301000412</t>
  </si>
  <si>
    <t>R13202303000196</t>
  </si>
  <si>
    <t>R13202207000007</t>
  </si>
  <si>
    <t>CGA20211201350</t>
  </si>
  <si>
    <t>R12202301000215</t>
  </si>
  <si>
    <t>R1120221006109</t>
  </si>
  <si>
    <t>R11202112000163</t>
  </si>
  <si>
    <t>R1120220723713</t>
  </si>
  <si>
    <t>r11202303000224</t>
  </si>
  <si>
    <t>RIA2453927</t>
  </si>
  <si>
    <t>WINCH</t>
  </si>
  <si>
    <t>ria2355035</t>
  </si>
  <si>
    <t>5/18/20233</t>
  </si>
  <si>
    <t>SBNG</t>
  </si>
  <si>
    <t>E7951222</t>
  </si>
  <si>
    <t>RIA2072066</t>
  </si>
  <si>
    <t>R11202206000362</t>
  </si>
  <si>
    <t>SINCERO, ELICER</t>
  </si>
  <si>
    <t>TOWER SITES</t>
  </si>
  <si>
    <t>R1120210602945</t>
  </si>
  <si>
    <t>R11202308000372</t>
  </si>
  <si>
    <t>R1120237000265</t>
  </si>
  <si>
    <t>R11202308000434</t>
  </si>
  <si>
    <t>R112023080000373</t>
  </si>
  <si>
    <t>R11202308000227</t>
  </si>
  <si>
    <t>RIA2074320</t>
  </si>
  <si>
    <t>R11202308000226</t>
  </si>
  <si>
    <t>GUMONE RHENDON</t>
  </si>
  <si>
    <t>VALER ROGELIO</t>
  </si>
  <si>
    <t>GARCIA CARLOS</t>
  </si>
  <si>
    <t>r112021107719699</t>
  </si>
  <si>
    <t>LBP-MONKAYO DVO DE ORTO</t>
  </si>
  <si>
    <t>FABRIA JOB V</t>
  </si>
  <si>
    <t>r11202308000375</t>
  </si>
  <si>
    <t>TABUCAL, MERVEN</t>
  </si>
  <si>
    <t>0995-5870-152</t>
  </si>
  <si>
    <t>UBI-STO TOMAS 189</t>
  </si>
  <si>
    <t>LLANOS JESTONI</t>
  </si>
  <si>
    <t>R11202308000542</t>
  </si>
  <si>
    <t>08/023/2028</t>
  </si>
  <si>
    <t>R1120230735822</t>
  </si>
  <si>
    <t>ROSALES,CHNDY C</t>
  </si>
  <si>
    <t>R11202109000109</t>
  </si>
  <si>
    <t>R10202308000375</t>
  </si>
  <si>
    <t>CONSOLACION CHRISTIAN DAVE</t>
  </si>
  <si>
    <t>R11202308000223</t>
  </si>
  <si>
    <t>QUIDANG, REINO</t>
  </si>
  <si>
    <t>R11202308000428</t>
  </si>
  <si>
    <t>Arsmcor</t>
  </si>
  <si>
    <t>RIA2641321</t>
  </si>
  <si>
    <t>r11202308000371</t>
  </si>
  <si>
    <t>Baseguard</t>
  </si>
  <si>
    <t>R11202309000572</t>
  </si>
  <si>
    <t>R11202309000573</t>
  </si>
  <si>
    <t>MAPANO KRISTIAN VIER</t>
  </si>
  <si>
    <t>r11202301000392</t>
  </si>
  <si>
    <t>r1120210703081</t>
  </si>
  <si>
    <t>PILLO RAYMART</t>
  </si>
  <si>
    <t>QUIMADO, JEFF RYAN</t>
  </si>
  <si>
    <t>EUGENIO GILBERT</t>
  </si>
  <si>
    <t>FELISCOUSO CRIS RYAN</t>
  </si>
  <si>
    <t>CERT BAGWIS</t>
  </si>
  <si>
    <t>FTAP-LINOAN</t>
  </si>
  <si>
    <t>UBI-sto tomas sal</t>
  </si>
  <si>
    <t>FA VAULT</t>
  </si>
  <si>
    <t>deface</t>
  </si>
  <si>
    <t xml:space="preserve">FTAP-waling2x baganga </t>
  </si>
  <si>
    <t>GLOBE-BANTAY KABLE-baganga</t>
  </si>
  <si>
    <t>defective</t>
  </si>
  <si>
    <t>22-PH02834</t>
  </si>
  <si>
    <t>22-PH02808</t>
  </si>
  <si>
    <t>RIA2641316</t>
  </si>
  <si>
    <t>R1120210703333</t>
  </si>
  <si>
    <t>R1120220725712</t>
  </si>
  <si>
    <t>R11202307000377</t>
  </si>
  <si>
    <t>TUBOD CARMEN</t>
  </si>
  <si>
    <t>R11202309000603</t>
  </si>
  <si>
    <t>NIONES,ARMANDO</t>
  </si>
  <si>
    <t>UCPB SAVINGS TAGUM</t>
  </si>
  <si>
    <t>R11202306000242</t>
  </si>
  <si>
    <t>BANBANON- LAAK</t>
  </si>
  <si>
    <t>ESTRERA, NESTOR</t>
  </si>
  <si>
    <t>RIA2542530</t>
  </si>
  <si>
    <t>22-PH02805</t>
  </si>
  <si>
    <t>JUNE 12 2033</t>
  </si>
  <si>
    <t>JUNE 15 2033</t>
  </si>
  <si>
    <t>21/3magz</t>
  </si>
  <si>
    <t>1 stick</t>
  </si>
  <si>
    <t>DERCA</t>
  </si>
  <si>
    <t>R11202304000079</t>
  </si>
  <si>
    <t>R11202402000057</t>
  </si>
  <si>
    <t>R11202402000135</t>
  </si>
  <si>
    <t>BPI-ROBINSON TAGUM</t>
  </si>
  <si>
    <t>15/2MAGS</t>
  </si>
  <si>
    <t>STICK</t>
  </si>
  <si>
    <t>MASALI HABIB</t>
  </si>
  <si>
    <t>TUMANDA ROMEL</t>
  </si>
  <si>
    <t>R11202402000134</t>
  </si>
  <si>
    <t>R11202402000060</t>
  </si>
  <si>
    <t>R07202402000021</t>
  </si>
  <si>
    <t>R12202402000048</t>
  </si>
  <si>
    <t>ENOY, CLINT YON P.</t>
  </si>
  <si>
    <t>R11202402000061</t>
  </si>
  <si>
    <t>R1120220726152</t>
  </si>
  <si>
    <t>R13202401000356</t>
  </si>
  <si>
    <t>R11202401000471</t>
  </si>
  <si>
    <t>cert/goncar</t>
  </si>
  <si>
    <t>CERT/GONCAR</t>
  </si>
  <si>
    <t>ROMAN COJETIA</t>
  </si>
  <si>
    <t>R11402000136</t>
  </si>
  <si>
    <t>JUMAO-AS JEANREX</t>
  </si>
  <si>
    <t>R11202307000550</t>
  </si>
  <si>
    <t>PAMPLONA, JOEWERY</t>
  </si>
  <si>
    <t>R12202401000479</t>
  </si>
  <si>
    <t>MAYBUENA, JUSTICE</t>
  </si>
  <si>
    <t>TANGUAN, JHON MARK</t>
  </si>
  <si>
    <t>MOLANTA, LOPE</t>
  </si>
  <si>
    <t>MELLORIA, LEONIDES</t>
  </si>
  <si>
    <t>GIMENA, DARWIN</t>
  </si>
  <si>
    <t>PALENTINOS, ERNANE</t>
  </si>
  <si>
    <t>BAHAGUE, JUNGIE</t>
  </si>
  <si>
    <t>R11202403000043</t>
  </si>
  <si>
    <t>R11202403000168</t>
  </si>
  <si>
    <t>R10202402000065</t>
  </si>
  <si>
    <t>R11202402000553</t>
  </si>
  <si>
    <t>R1202308000427</t>
  </si>
  <si>
    <t>R11202403000483</t>
  </si>
  <si>
    <t>NCR202310000294</t>
  </si>
  <si>
    <t>R1120220905809</t>
  </si>
  <si>
    <t>PALERMO,RENANTE</t>
  </si>
  <si>
    <t>R13202310000170</t>
  </si>
  <si>
    <t xml:space="preserve">ARCENAL, NESTOR </t>
  </si>
  <si>
    <t>MADANI, BEN AMER</t>
  </si>
  <si>
    <t>R1120230400915</t>
  </si>
  <si>
    <t>SOLARTE, ZALDIE</t>
  </si>
  <si>
    <t>MELLORIA,LARRY</t>
  </si>
  <si>
    <t>SUAN, WELSON</t>
  </si>
  <si>
    <t>CATON, REYMAR</t>
  </si>
  <si>
    <t>R11202402000162</t>
  </si>
  <si>
    <t>CUYAGBO,LOREN F.</t>
  </si>
  <si>
    <t>R11202308000230</t>
  </si>
  <si>
    <t>R11202110720437</t>
  </si>
  <si>
    <t>R1120238000426</t>
  </si>
  <si>
    <t>UBI-NEWBATAAN</t>
  </si>
  <si>
    <t>UBI NEW BATAAN-BAGNGA</t>
  </si>
  <si>
    <t>BUQUE, LOWELL JAMES</t>
  </si>
  <si>
    <t>RAMOS, NOEL</t>
  </si>
  <si>
    <t>R11202208000286</t>
  </si>
  <si>
    <t>RIA20274322</t>
  </si>
  <si>
    <t>R12202401000478</t>
  </si>
  <si>
    <t>R1120220734183</t>
  </si>
  <si>
    <t>R1120220734182</t>
  </si>
  <si>
    <t>R1120240200159</t>
  </si>
  <si>
    <t>R11202406000596</t>
  </si>
  <si>
    <t>R11202406002199</t>
  </si>
  <si>
    <t>Pioneer Avenue, Tagum City</t>
  </si>
  <si>
    <t>TEL# 656297 / 6557002</t>
  </si>
  <si>
    <t>Apokon road, Tagum City</t>
  </si>
  <si>
    <t>TEL# 6559290</t>
  </si>
  <si>
    <t>San francisco poblacion, Panabo City</t>
  </si>
  <si>
    <t>Guarante road, Tagum City</t>
  </si>
  <si>
    <t>Rizal St. Mati City</t>
  </si>
  <si>
    <t>TEL# 3884029</t>
  </si>
  <si>
    <t>Brgy Sto.niño, Panabo City</t>
  </si>
  <si>
    <t>Prk 5 momar bldg, Nabunturan</t>
  </si>
  <si>
    <t>TEL# 8170083</t>
  </si>
  <si>
    <t>Asahe bldg brgy central, Mati City</t>
  </si>
  <si>
    <t>Galenzoga bldg, Compostela</t>
  </si>
  <si>
    <t>1022 balderama st. montevista</t>
  </si>
  <si>
    <t>TEL# 86547758</t>
  </si>
  <si>
    <t>Anamillo bldg prk 8 fdr, tibal-og</t>
  </si>
  <si>
    <t>Villa clementa, maniki kapalong</t>
  </si>
  <si>
    <t>TEL# 8072314</t>
  </si>
  <si>
    <t>Toroba str. Poblacion cateel</t>
  </si>
  <si>
    <t>Burgos bldg,  central manay</t>
  </si>
  <si>
    <t>Unit167 Level 1 Robinson Tagum</t>
  </si>
  <si>
    <t>Pioneer avenue., Tagum City</t>
  </si>
  <si>
    <t>TEL# 6556341 / 6559520</t>
  </si>
  <si>
    <t>Prk atis plaza, Panabo City</t>
  </si>
  <si>
    <t>Raulo arabejo str, nabunturan</t>
  </si>
  <si>
    <t>Cacayorin bldg, Tagum City</t>
  </si>
  <si>
    <t>TEL# 8085851</t>
  </si>
  <si>
    <t>Prk 17 poblacion nabunturan</t>
  </si>
  <si>
    <t>Andravel st., Mati City</t>
  </si>
  <si>
    <t>Capitol Tagum City</t>
  </si>
  <si>
    <t>National Highway, bgy sto.niño</t>
  </si>
  <si>
    <t>TEL# 3883509</t>
  </si>
  <si>
    <t>Prk 5 poblacion, Nabunturan</t>
  </si>
  <si>
    <t>Prk 12 FD road, Sto.tomas</t>
  </si>
  <si>
    <t>Prk 8, Arellano st, Kapalong</t>
  </si>
  <si>
    <t>Aguinaldo st., poblacion lupon</t>
  </si>
  <si>
    <t>Prk 4, Poblacion Monkayo</t>
  </si>
  <si>
    <t>Tell# (084)8296483</t>
  </si>
  <si>
    <t>Pioneer st., Tgaum City</t>
  </si>
  <si>
    <t>TEL# 084-6554086</t>
  </si>
  <si>
    <t>TEL# 084-6284439</t>
  </si>
  <si>
    <t>TEL# 084-3080073</t>
  </si>
  <si>
    <t>TEL# 084-6284437</t>
  </si>
  <si>
    <t>TEL# 084-6378087</t>
  </si>
  <si>
    <t>TEL# 084-8290100</t>
  </si>
  <si>
    <t>TELL# 084-2188031</t>
  </si>
  <si>
    <t>TEL# 084-6290048</t>
  </si>
  <si>
    <t>TEL# 084-8170142</t>
  </si>
  <si>
    <t>TEL# 084-2164465</t>
  </si>
  <si>
    <t>TEL# 084-6559609</t>
  </si>
  <si>
    <t>TEL# 087-3884920</t>
  </si>
  <si>
    <t>TEL# 084-6556735</t>
  </si>
  <si>
    <t>TEL# 084-6551166</t>
  </si>
  <si>
    <t>TEL# 084-8230351</t>
  </si>
  <si>
    <t>TEL# 084-8170015</t>
  </si>
  <si>
    <t>TEL# 084-8291236</t>
  </si>
  <si>
    <t>TEL# 084-8293308</t>
  </si>
  <si>
    <t>TEL# 087-8085532</t>
  </si>
  <si>
    <t>PAGDATO, REX</t>
  </si>
  <si>
    <t>SBR19951158</t>
  </si>
  <si>
    <t>R11202403000294</t>
  </si>
  <si>
    <t>R11202306000324</t>
  </si>
  <si>
    <t>R10202311000312</t>
  </si>
  <si>
    <t>OMBAJIN, MANILYN</t>
  </si>
  <si>
    <t>R11202306000549</t>
  </si>
  <si>
    <t>R11202401000234</t>
  </si>
  <si>
    <t>R11202308000423</t>
  </si>
  <si>
    <t>R11202309000461</t>
  </si>
  <si>
    <t>R082024402000019</t>
  </si>
  <si>
    <t>R11202308000271</t>
  </si>
  <si>
    <t>R11202403001145</t>
  </si>
  <si>
    <t>CABACHETE JAYSON</t>
  </si>
  <si>
    <t>R11202308000370</t>
  </si>
  <si>
    <t>R11202403000960</t>
  </si>
  <si>
    <t>RAMOS BRYAN</t>
  </si>
  <si>
    <t>BPI -DIRECT BANKO NEW CORELLA</t>
  </si>
  <si>
    <t>ria2769454</t>
  </si>
  <si>
    <t>R11202404000491</t>
  </si>
  <si>
    <t>R11202404000482</t>
  </si>
  <si>
    <t>NCR202403001060</t>
  </si>
  <si>
    <t>RIA1818556</t>
  </si>
  <si>
    <t>21E-13616</t>
  </si>
  <si>
    <t>LAUM, RENIER</t>
  </si>
  <si>
    <t>HERNANE,JOSEPH</t>
  </si>
  <si>
    <t xml:space="preserve">BOLAY BOLAY,  JUNIPER </t>
  </si>
  <si>
    <t xml:space="preserve"> NAMALATA, JHON LLOYD</t>
  </si>
  <si>
    <t>PULL OUT SEPTEMBER 1. 2024</t>
  </si>
  <si>
    <t>FLOATING</t>
  </si>
  <si>
    <t>RESIGN</t>
  </si>
  <si>
    <t>ESCORT LBP A/C</t>
  </si>
  <si>
    <t>BILAWAN 2,MATI</t>
  </si>
  <si>
    <t>GASPAN,FRECH</t>
  </si>
  <si>
    <t>PULL OUT SEPTEMBER 10, 2024</t>
  </si>
  <si>
    <t>R1A2074350</t>
  </si>
  <si>
    <t>RIA2015478</t>
  </si>
  <si>
    <t>8/1MG</t>
  </si>
  <si>
    <t>pistol</t>
  </si>
  <si>
    <t>Rockisland</t>
  </si>
  <si>
    <t>R1A2015487</t>
  </si>
  <si>
    <t>9/1MG</t>
  </si>
  <si>
    <t>handhel radio</t>
  </si>
  <si>
    <t>RIA1984335</t>
  </si>
  <si>
    <t>RADIO</t>
  </si>
  <si>
    <t>CELPHONE</t>
  </si>
  <si>
    <t>14/2mag</t>
  </si>
  <si>
    <t>STATUS</t>
  </si>
  <si>
    <t>BATULANON.SHANE FRANCES</t>
  </si>
  <si>
    <t>21E-13549</t>
  </si>
  <si>
    <t>ARMED</t>
  </si>
  <si>
    <t>K566444</t>
  </si>
  <si>
    <t>RETURNED TO GHQ</t>
  </si>
  <si>
    <t>FIREARM  PROPERLY TURNOVER TO GHQ</t>
  </si>
  <si>
    <t>Prepared by:</t>
  </si>
  <si>
    <t>SENDRICK M SOLIS RCrim.</t>
  </si>
  <si>
    <t>Security Officer- Tagum Branch</t>
  </si>
  <si>
    <t>Noted by:</t>
  </si>
  <si>
    <t xml:space="preserve">LT OSCAR A GAGA-A PA (RET) </t>
  </si>
  <si>
    <t>Branch Manager - DASIA TAGUM</t>
  </si>
  <si>
    <t>R11202409000033</t>
  </si>
  <si>
    <t>R11-202308000229</t>
  </si>
  <si>
    <t>Android Phone</t>
  </si>
  <si>
    <t xml:space="preserve">LINAMBOS, DAVID RAMSON </t>
  </si>
  <si>
    <t>RIA1884346</t>
  </si>
  <si>
    <t>ria2015487</t>
  </si>
  <si>
    <t>GARCIA, CARSOLITO/escort</t>
  </si>
  <si>
    <t>R11-202309000598</t>
  </si>
  <si>
    <t>JHON CARLO LAPIZ</t>
  </si>
  <si>
    <t>ALIMES, RUEL</t>
  </si>
  <si>
    <t>BPI-Direct Banko PANTUKAN</t>
  </si>
  <si>
    <t>Natl-hway engbino bldg. townsite</t>
  </si>
  <si>
    <t>Kingking Pantukan</t>
  </si>
  <si>
    <t>R11202309000179</t>
  </si>
  <si>
    <t>R11-202301000421</t>
  </si>
  <si>
    <t>R11202406002198</t>
  </si>
  <si>
    <t>R11202403001216</t>
  </si>
  <si>
    <t>R11202405000261</t>
  </si>
  <si>
    <t>R11202306000278</t>
  </si>
  <si>
    <t>r11202303000360</t>
  </si>
  <si>
    <t>R1120220734184</t>
  </si>
  <si>
    <t>LACHINEBRE II ALEJANDRO</t>
  </si>
  <si>
    <t>R111202405000234</t>
  </si>
  <si>
    <t>R11202407002432</t>
  </si>
  <si>
    <t>R1120240400555</t>
  </si>
  <si>
    <t>RIA1818194</t>
  </si>
  <si>
    <t>RIA1818216</t>
  </si>
  <si>
    <t>DEFACE</t>
  </si>
  <si>
    <t>26867*</t>
  </si>
  <si>
    <t>November 09 2024</t>
  </si>
  <si>
    <t>PNB-TAGUM CITY A/C 6479</t>
  </si>
  <si>
    <t>RIA1818222</t>
  </si>
  <si>
    <t>JUMIL MELANCOLICO</t>
  </si>
  <si>
    <r>
      <t xml:space="preserve"> </t>
    </r>
    <r>
      <rPr>
        <sz val="10"/>
        <color theme="1"/>
        <rFont val="Tahoma"/>
        <family val="2"/>
      </rPr>
      <t>Submitted herewith is the Monthly Disposition Report (MDR) by this branch  for your ready reference</t>
    </r>
  </si>
  <si>
    <t>r11202407002621</t>
  </si>
  <si>
    <t>r11-202000400369</t>
  </si>
  <si>
    <t>r11-202310000185</t>
  </si>
  <si>
    <t>r11-202403001217</t>
  </si>
  <si>
    <t>MONTON, ANTONIO</t>
  </si>
  <si>
    <t>R11202410000303</t>
  </si>
  <si>
    <t>r11-202410000355</t>
  </si>
  <si>
    <t>ANONG, ELMAR</t>
  </si>
  <si>
    <t>JHIL AROSO</t>
  </si>
  <si>
    <t>R11-202402000059</t>
  </si>
  <si>
    <t>RIA1884355</t>
  </si>
  <si>
    <t>r11-202309000662</t>
  </si>
  <si>
    <t>MADINDIN MICHELLE</t>
  </si>
  <si>
    <t>R11-202208000009</t>
  </si>
  <si>
    <t>RAMOS, ROMARK S.</t>
  </si>
  <si>
    <t>R10-202304000320</t>
  </si>
  <si>
    <t>R1120221227935</t>
  </si>
  <si>
    <t>R11202402000088</t>
  </si>
  <si>
    <t>R11202402000128</t>
  </si>
  <si>
    <t>r11202408002886</t>
  </si>
  <si>
    <t>R11202409003198</t>
  </si>
  <si>
    <t>R11202402000063</t>
  </si>
  <si>
    <t>21E-13485</t>
  </si>
  <si>
    <t>D.INC</t>
  </si>
  <si>
    <t>DASIA FORCE</t>
  </si>
  <si>
    <t>KADAYAWN</t>
  </si>
  <si>
    <t>DASIA INC</t>
  </si>
  <si>
    <t>D.SEC</t>
  </si>
  <si>
    <t>KADAYAWAN</t>
  </si>
  <si>
    <t>D.FORCE</t>
  </si>
  <si>
    <t>METRO</t>
  </si>
  <si>
    <t>METROGUARD</t>
  </si>
  <si>
    <t>d.sec</t>
  </si>
  <si>
    <t>GENESIS</t>
  </si>
  <si>
    <t>kadayawan</t>
  </si>
  <si>
    <t>DAVAO SEC</t>
  </si>
  <si>
    <t>genesis</t>
  </si>
  <si>
    <t>d.force</t>
  </si>
  <si>
    <t>LIC.REG.NAME</t>
  </si>
  <si>
    <t>r11-20230735492</t>
  </si>
  <si>
    <t>RIA2542524</t>
  </si>
  <si>
    <t>RIA 2809152</t>
  </si>
  <si>
    <t xml:space="preserve"> 11/18/2029</t>
  </si>
  <si>
    <t xml:space="preserve"> 6/02/2028</t>
  </si>
  <si>
    <t>PRINCE CLARK G REBATO</t>
  </si>
  <si>
    <t>R13202501000494</t>
  </si>
  <si>
    <t>QUIDANG RIENO</t>
  </si>
  <si>
    <t>TACALDO, JHONNY</t>
  </si>
  <si>
    <t xml:space="preserve"> 9/17/2029</t>
  </si>
  <si>
    <t>VILLANUEVA GLENN</t>
  </si>
  <si>
    <t>JEFFERSON CORPIN</t>
  </si>
  <si>
    <t>MAGONALIG, BERT FRANCIS</t>
  </si>
  <si>
    <t>R11202404000486</t>
  </si>
  <si>
    <t>JOHNRY NOYA</t>
  </si>
  <si>
    <t>R11-202412000527</t>
  </si>
  <si>
    <t>JEROME SALONGA</t>
  </si>
  <si>
    <t>R13-202501000866</t>
  </si>
  <si>
    <t>STEVEN PAPARON</t>
  </si>
  <si>
    <t>MAGUNALIG ALBERTO</t>
  </si>
  <si>
    <t>UBI NEW BATAAN-BAGANGA</t>
  </si>
  <si>
    <t>EUFEMIA, PEARL ANGELO</t>
  </si>
  <si>
    <t>R4A-202501001545</t>
  </si>
  <si>
    <t>JURANEL INDEREZ</t>
  </si>
  <si>
    <t>ABUEVA JOHN MICHAEL/escort</t>
  </si>
  <si>
    <t>R11202503000023</t>
  </si>
  <si>
    <t>NOLI ESCOVILLA</t>
  </si>
  <si>
    <t>DELITINA JESON</t>
  </si>
  <si>
    <t>10/1MGS</t>
  </si>
  <si>
    <t>JHON MICHAEL DAJUELA</t>
  </si>
  <si>
    <t>20rds</t>
  </si>
  <si>
    <t xml:space="preserve">RIA 1818184    </t>
  </si>
  <si>
    <t>RIA1884344</t>
  </si>
  <si>
    <t>RIA1777502</t>
  </si>
  <si>
    <t>11/118/2030</t>
  </si>
  <si>
    <t>NARRA, SANNY BOY</t>
  </si>
  <si>
    <t>R11202402000609</t>
  </si>
  <si>
    <t>CINTO, GILBERT</t>
  </si>
  <si>
    <t>R11-202405002038</t>
  </si>
  <si>
    <t>CEBALLOS.JR GLECERIO</t>
  </si>
  <si>
    <t>SAGAYCA, MELVIN</t>
  </si>
  <si>
    <t>R11202406002699</t>
  </si>
  <si>
    <t>R11202501000701</t>
  </si>
  <si>
    <t>R11-202509000534</t>
  </si>
  <si>
    <t>JOSEPH LINO</t>
  </si>
  <si>
    <t>Month of september  2025</t>
  </si>
  <si>
    <t>ERIC FLORENTINO</t>
  </si>
  <si>
    <t>LUENGAS  JASON</t>
  </si>
  <si>
    <t>20/3mag</t>
  </si>
  <si>
    <t>TEMONIO, JOEL</t>
  </si>
  <si>
    <t>HERMOCILLA, JHON PATRICK</t>
  </si>
  <si>
    <t>r11-202404000765</t>
  </si>
  <si>
    <t>MASINADING JANELITO</t>
  </si>
  <si>
    <t xml:space="preserve">IGNACIO C, LAVIÑA </t>
  </si>
  <si>
    <t>DBP TAGUM</t>
  </si>
  <si>
    <t>OJ JEHAN DE FRANCIA</t>
  </si>
  <si>
    <t>RANELL TOOS</t>
  </si>
  <si>
    <t>MIOLE DANILO</t>
  </si>
  <si>
    <t>RAFAEL DIDAL</t>
  </si>
  <si>
    <t xml:space="preserve"> ROGELIO DESPI</t>
  </si>
  <si>
    <t>  ELDIE APIAG</t>
  </si>
  <si>
    <t>DBP MATI</t>
  </si>
  <si>
    <t>JESSEL REQUILLAS</t>
  </si>
  <si>
    <t>ROLLY DELLOSA</t>
  </si>
  <si>
    <t>RICHARD BARANDA</t>
  </si>
  <si>
    <t>BEN LATOZA</t>
  </si>
  <si>
    <t>MICHAEL LEDESMA</t>
  </si>
  <si>
    <t>RIA2809156</t>
  </si>
  <si>
    <t>RIA2809155</t>
  </si>
  <si>
    <t>RIA2809160</t>
  </si>
  <si>
    <t>RIA2809161</t>
  </si>
  <si>
    <t xml:space="preserve"> 11/18/2029 </t>
  </si>
  <si>
    <t>20/2magS.</t>
  </si>
  <si>
    <t>LANDOR</t>
  </si>
  <si>
    <t>24-LP1201148</t>
  </si>
  <si>
    <t>24-LP1200777</t>
  </si>
  <si>
    <t xml:space="preserve">RIA2769496 </t>
  </si>
  <si>
    <t xml:space="preserve">RIA2769498 </t>
  </si>
  <si>
    <t xml:space="preserve">RIA2809157  </t>
  </si>
  <si>
    <t>RIA2809158</t>
  </si>
  <si>
    <t xml:space="preserve">24-LP1201149   </t>
  </si>
  <si>
    <t xml:space="preserve">24-LP1201150  </t>
  </si>
  <si>
    <t>DBP-LENDING TAGUM</t>
  </si>
  <si>
    <t>RICKY VILLARIN</t>
  </si>
  <si>
    <t>RIA2016680</t>
  </si>
  <si>
    <t>ANDROID PHONE</t>
  </si>
  <si>
    <t>INFINIX/SMART10</t>
  </si>
  <si>
    <t>R11202503001491</t>
  </si>
  <si>
    <t>R11202309000618</t>
  </si>
  <si>
    <t>R13202501000530</t>
  </si>
  <si>
    <t>JETHER PADEN</t>
  </si>
  <si>
    <t>R13202402000040</t>
  </si>
  <si>
    <t>CERTIFICATE</t>
  </si>
  <si>
    <t>LBP TAGUM A/C 3003  /MFZ 908</t>
  </si>
  <si>
    <t>LBP TAGUM A/C-6473 /AAG 2609</t>
  </si>
  <si>
    <t>LBP TAGUM A/C-6597 /LAJ 2402</t>
  </si>
  <si>
    <t>LBP MATI A/C-6817 /LAP5368</t>
  </si>
  <si>
    <t>LBP NAB. A/C-6355 /ACW 1328</t>
  </si>
  <si>
    <t>MACARAYAN, RONNIE CRIS</t>
  </si>
  <si>
    <t>RO8-202405000823</t>
  </si>
  <si>
    <t>MAY 23,2029</t>
  </si>
  <si>
    <t>MELECIO MARVIN</t>
  </si>
  <si>
    <t>SALINAS JAYLMHAR</t>
  </si>
  <si>
    <t xml:space="preserve">CELLPHONE </t>
  </si>
  <si>
    <t>MATONOG, RODULFO</t>
  </si>
  <si>
    <t>Month of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</si>
</sst>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_);\(&quot;$&quot;#,##0\)"/>
    <numFmt numFmtId="164" formatCode="0;[Red]0"/>
  </numFmts>
  <fonts count="4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sz val="10"/>
      <color rgb="FFFF0000"/>
      <name val="Times New Roman"/>
      <family val="1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name val="Tahoma"/>
      <family val="2"/>
    </font>
    <font>
      <sz val="10"/>
      <name val="Symbol"/>
      <family val="1"/>
      <charset val="2"/>
    </font>
    <font>
      <sz val="7"/>
      <name val="Times New Roman"/>
      <family val="1"/>
    </font>
    <font>
      <b/>
      <sz val="9"/>
      <name val="Tahoma"/>
      <family val="2"/>
    </font>
    <font>
      <sz val="9"/>
      <name val="Tahoma"/>
      <family val="2"/>
    </font>
    <font>
      <b/>
      <sz val="11"/>
      <name val="Calibri"/>
      <family val="2"/>
      <scheme val="minor"/>
    </font>
    <font>
      <sz val="11"/>
      <color rgb="FF000000"/>
      <name val="Garamond"/>
      <family val="1"/>
    </font>
    <font>
      <b/>
      <sz val="10"/>
      <name val="Tahoma"/>
      <family val="2"/>
    </font>
    <font>
      <sz val="10"/>
      <name val="Tahoma"/>
      <family val="2"/>
    </font>
    <font>
      <sz val="14"/>
      <color theme="1"/>
      <name val="Arial"/>
      <family val="2"/>
    </font>
    <font>
      <sz val="11"/>
      <color rgb="FF000000"/>
      <name val="Times New Roman"/>
      <family val="1"/>
    </font>
    <font>
      <sz val="12"/>
      <color rgb="FF000000"/>
      <name val="Bookman Old Style"/>
      <family val="1"/>
    </font>
    <font>
      <u/>
      <sz val="11"/>
      <color rgb="FF000000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</font>
    <font>
      <sz val="12"/>
      <name val="Bookman Old Style"/>
      <family val="1"/>
    </font>
    <font>
      <sz val="8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sz val="10"/>
      <color rgb="FF08080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FF"/>
        <bgColor rgb="FF000000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5" fontId="12" fillId="0" borderId="0" applyFont="0" applyFill="0" applyBorder="0" applyAlignment="0" applyProtection="0"/>
    <xf numFmtId="0" fontId="12" fillId="0" borderId="0"/>
  </cellStyleXfs>
  <cellXfs count="1155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14" fontId="8" fillId="2" borderId="0" xfId="0" applyNumberFormat="1" applyFont="1" applyFill="1" applyAlignment="1">
      <alignment horizontal="left" vertical="center"/>
    </xf>
    <xf numFmtId="0" fontId="9" fillId="3" borderId="1" xfId="0" applyFont="1" applyFill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8" fillId="0" borderId="2" xfId="0" applyFont="1" applyBorder="1"/>
    <xf numFmtId="0" fontId="6" fillId="2" borderId="2" xfId="0" applyFont="1" applyFill="1" applyBorder="1" applyAlignment="1">
      <alignment horizontal="left" vertical="center"/>
    </xf>
    <xf numFmtId="1" fontId="8" fillId="0" borderId="2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14" fontId="6" fillId="0" borderId="2" xfId="0" applyNumberFormat="1" applyFont="1" applyBorder="1" applyAlignment="1">
      <alignment horizontal="left" vertical="center"/>
    </xf>
    <xf numFmtId="14" fontId="8" fillId="0" borderId="2" xfId="0" applyNumberFormat="1" applyFont="1" applyBorder="1" applyAlignment="1">
      <alignment horizontal="left" vertical="center"/>
    </xf>
    <xf numFmtId="0" fontId="14" fillId="0" borderId="2" xfId="0" applyFont="1" applyBorder="1"/>
    <xf numFmtId="0" fontId="6" fillId="2" borderId="2" xfId="0" applyFont="1" applyFill="1" applyBorder="1" applyAlignment="1">
      <alignment horizontal="left" vertical="center" wrapText="1"/>
    </xf>
    <xf numFmtId="1" fontId="8" fillId="0" borderId="2" xfId="0" applyNumberFormat="1" applyFont="1" applyBorder="1" applyAlignment="1">
      <alignment horizontal="left" vertical="center" wrapText="1"/>
    </xf>
    <xf numFmtId="0" fontId="14" fillId="0" borderId="0" xfId="0" applyFont="1"/>
    <xf numFmtId="0" fontId="8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8" fillId="0" borderId="0" xfId="0" applyFont="1"/>
    <xf numFmtId="0" fontId="6" fillId="2" borderId="0" xfId="0" applyFont="1" applyFill="1" applyAlignment="1">
      <alignment horizontal="left" vertical="center" wrapText="1"/>
    </xf>
    <xf numFmtId="1" fontId="8" fillId="0" borderId="0" xfId="0" applyNumberFormat="1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14" fontId="8" fillId="0" borderId="0" xfId="0" applyNumberFormat="1" applyFont="1" applyAlignment="1">
      <alignment horizontal="left" vertical="center"/>
    </xf>
    <xf numFmtId="1" fontId="8" fillId="0" borderId="0" xfId="0" applyNumberFormat="1" applyFont="1" applyAlignment="1">
      <alignment horizontal="left" vertical="center"/>
    </xf>
    <xf numFmtId="0" fontId="8" fillId="0" borderId="0" xfId="2" applyFont="1" applyAlignment="1">
      <alignment horizontal="center" vertical="center"/>
    </xf>
    <xf numFmtId="14" fontId="8" fillId="2" borderId="2" xfId="0" applyNumberFormat="1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14" fillId="0" borderId="12" xfId="0" applyFont="1" applyBorder="1"/>
    <xf numFmtId="0" fontId="8" fillId="0" borderId="12" xfId="0" applyFont="1" applyBorder="1"/>
    <xf numFmtId="0" fontId="8" fillId="0" borderId="7" xfId="0" applyFont="1" applyBorder="1"/>
    <xf numFmtId="0" fontId="6" fillId="2" borderId="7" xfId="0" applyFont="1" applyFill="1" applyBorder="1" applyAlignment="1">
      <alignment horizontal="left" vertical="center" wrapText="1"/>
    </xf>
    <xf numFmtId="1" fontId="8" fillId="0" borderId="7" xfId="0" applyNumberFormat="1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" fontId="8" fillId="0" borderId="10" xfId="0" applyNumberFormat="1" applyFont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 wrapText="1"/>
    </xf>
    <xf numFmtId="1" fontId="8" fillId="0" borderId="2" xfId="0" applyNumberFormat="1" applyFont="1" applyBorder="1" applyAlignment="1">
      <alignment horizontal="left" vertical="top" wrapText="1"/>
    </xf>
    <xf numFmtId="14" fontId="8" fillId="2" borderId="4" xfId="0" applyNumberFormat="1" applyFont="1" applyFill="1" applyBorder="1" applyAlignment="1">
      <alignment horizontal="left" vertical="center"/>
    </xf>
    <xf numFmtId="1" fontId="8" fillId="0" borderId="4" xfId="0" applyNumberFormat="1" applyFont="1" applyBorder="1" applyAlignment="1">
      <alignment horizontal="left" vertical="center"/>
    </xf>
    <xf numFmtId="0" fontId="8" fillId="0" borderId="7" xfId="0" applyFont="1" applyBorder="1" applyAlignment="1">
      <alignment horizontal="left"/>
    </xf>
    <xf numFmtId="0" fontId="0" fillId="0" borderId="0" xfId="0" applyAlignment="1">
      <alignment horizontal="left"/>
    </xf>
    <xf numFmtId="0" fontId="14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 vertical="center"/>
    </xf>
    <xf numFmtId="0" fontId="1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9" xfId="0" applyFont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8" fillId="0" borderId="2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2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/>
    </xf>
    <xf numFmtId="14" fontId="6" fillId="4" borderId="2" xfId="0" applyNumberFormat="1" applyFont="1" applyFill="1" applyBorder="1" applyAlignment="1">
      <alignment horizontal="left" vertical="center"/>
    </xf>
    <xf numFmtId="0" fontId="8" fillId="0" borderId="6" xfId="0" applyFont="1" applyBorder="1" applyAlignment="1">
      <alignment horizontal="left" wrapText="1"/>
    </xf>
    <xf numFmtId="0" fontId="6" fillId="2" borderId="8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1" fontId="8" fillId="0" borderId="1" xfId="0" applyNumberFormat="1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/>
    </xf>
    <xf numFmtId="0" fontId="8" fillId="0" borderId="13" xfId="0" applyFont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/>
    </xf>
    <xf numFmtId="14" fontId="8" fillId="2" borderId="13" xfId="0" applyNumberFormat="1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10" xfId="0" applyFont="1" applyBorder="1" applyAlignment="1">
      <alignment horizontal="left"/>
    </xf>
    <xf numFmtId="0" fontId="8" fillId="0" borderId="3" xfId="0" applyFont="1" applyBorder="1" applyAlignment="1">
      <alignment horizontal="left" vertical="center"/>
    </xf>
    <xf numFmtId="0" fontId="8" fillId="2" borderId="15" xfId="0" applyFont="1" applyFill="1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14" fontId="6" fillId="2" borderId="2" xfId="0" applyNumberFormat="1" applyFont="1" applyFill="1" applyBorder="1" applyAlignment="1">
      <alignment horizontal="left" vertical="center"/>
    </xf>
    <xf numFmtId="14" fontId="6" fillId="2" borderId="2" xfId="0" applyNumberFormat="1" applyFont="1" applyFill="1" applyBorder="1" applyAlignment="1">
      <alignment horizontal="left" vertical="center" wrapText="1"/>
    </xf>
    <xf numFmtId="14" fontId="8" fillId="2" borderId="2" xfId="0" applyNumberFormat="1" applyFont="1" applyFill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2" borderId="10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2" borderId="2" xfId="0" applyFill="1" applyBorder="1" applyAlignment="1">
      <alignment horizontal="left"/>
    </xf>
    <xf numFmtId="14" fontId="6" fillId="2" borderId="13" xfId="0" applyNumberFormat="1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1" fontId="6" fillId="0" borderId="2" xfId="0" applyNumberFormat="1" applyFont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14" fontId="8" fillId="2" borderId="0" xfId="0" applyNumberFormat="1" applyFont="1" applyFill="1" applyAlignment="1">
      <alignment horizontal="left" vertical="center" wrapText="1"/>
    </xf>
    <xf numFmtId="0" fontId="14" fillId="2" borderId="2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 wrapText="1"/>
    </xf>
    <xf numFmtId="1" fontId="8" fillId="2" borderId="2" xfId="0" applyNumberFormat="1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1" fontId="6" fillId="0" borderId="0" xfId="0" applyNumberFormat="1" applyFont="1" applyAlignment="1">
      <alignment horizontal="left" vertical="center"/>
    </xf>
    <xf numFmtId="1" fontId="8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2" fillId="7" borderId="5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8" fillId="2" borderId="0" xfId="0" applyFont="1" applyFill="1" applyAlignment="1">
      <alignment horizontal="left" vertical="top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top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20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29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 vertical="center" wrapText="1"/>
    </xf>
    <xf numFmtId="0" fontId="30" fillId="0" borderId="0" xfId="0" applyFont="1"/>
    <xf numFmtId="0" fontId="29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13" xfId="0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0" borderId="11" xfId="0" applyBorder="1" applyAlignment="1">
      <alignment horizontal="left"/>
    </xf>
    <xf numFmtId="0" fontId="8" fillId="2" borderId="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8" fillId="2" borderId="10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/>
    </xf>
    <xf numFmtId="14" fontId="6" fillId="2" borderId="0" xfId="0" applyNumberFormat="1" applyFont="1" applyFill="1" applyAlignment="1">
      <alignment horizontal="left" vertical="center"/>
    </xf>
    <xf numFmtId="0" fontId="6" fillId="0" borderId="2" xfId="0" applyFont="1" applyBorder="1" applyAlignment="1">
      <alignment horizontal="left" wrapText="1"/>
    </xf>
    <xf numFmtId="1" fontId="6" fillId="2" borderId="5" xfId="0" applyNumberFormat="1" applyFont="1" applyFill="1" applyBorder="1" applyAlignment="1">
      <alignment horizontal="left" vertical="center"/>
    </xf>
    <xf numFmtId="1" fontId="6" fillId="2" borderId="2" xfId="0" applyNumberFormat="1" applyFont="1" applyFill="1" applyBorder="1" applyAlignment="1">
      <alignment horizontal="left" vertical="center"/>
    </xf>
    <xf numFmtId="14" fontId="8" fillId="2" borderId="13" xfId="0" applyNumberFormat="1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center"/>
    </xf>
    <xf numFmtId="0" fontId="20" fillId="0" borderId="0" xfId="0" applyFont="1"/>
    <xf numFmtId="0" fontId="8" fillId="2" borderId="1" xfId="0" applyFont="1" applyFill="1" applyBorder="1" applyAlignment="1">
      <alignment horizontal="left"/>
    </xf>
    <xf numFmtId="0" fontId="8" fillId="2" borderId="8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0" fillId="0" borderId="2" xfId="0" applyBorder="1"/>
    <xf numFmtId="0" fontId="8" fillId="6" borderId="2" xfId="0" applyFont="1" applyFill="1" applyBorder="1" applyAlignment="1">
      <alignment horizontal="left" wrapText="1"/>
    </xf>
    <xf numFmtId="0" fontId="0" fillId="4" borderId="0" xfId="0" applyFill="1"/>
    <xf numFmtId="0" fontId="0" fillId="2" borderId="0" xfId="0" applyFill="1"/>
    <xf numFmtId="0" fontId="6" fillId="4" borderId="11" xfId="0" applyFont="1" applyFill="1" applyBorder="1" applyAlignment="1">
      <alignment horizontal="left" vertical="center"/>
    </xf>
    <xf numFmtId="14" fontId="8" fillId="4" borderId="13" xfId="0" applyNumberFormat="1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 wrapText="1"/>
    </xf>
    <xf numFmtId="14" fontId="8" fillId="2" borderId="10" xfId="0" applyNumberFormat="1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/>
    </xf>
    <xf numFmtId="0" fontId="8" fillId="2" borderId="14" xfId="0" applyFont="1" applyFill="1" applyBorder="1" applyAlignment="1">
      <alignment horizontal="left"/>
    </xf>
    <xf numFmtId="0" fontId="8" fillId="0" borderId="4" xfId="0" applyFont="1" applyBorder="1" applyAlignment="1">
      <alignment horizontal="left"/>
    </xf>
    <xf numFmtId="14" fontId="8" fillId="2" borderId="7" xfId="0" applyNumberFormat="1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wrapText="1"/>
    </xf>
    <xf numFmtId="0" fontId="8" fillId="0" borderId="10" xfId="0" applyFont="1" applyBorder="1" applyAlignment="1">
      <alignment horizontal="left" wrapText="1"/>
    </xf>
    <xf numFmtId="1" fontId="8" fillId="0" borderId="10" xfId="0" applyNumberFormat="1" applyFont="1" applyBorder="1" applyAlignment="1">
      <alignment horizontal="left" vertical="center" wrapText="1"/>
    </xf>
    <xf numFmtId="0" fontId="8" fillId="0" borderId="2" xfId="0" applyFont="1" applyBorder="1" applyAlignment="1">
      <alignment wrapText="1"/>
    </xf>
    <xf numFmtId="0" fontId="6" fillId="2" borderId="15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left" vertical="center"/>
    </xf>
    <xf numFmtId="0" fontId="31" fillId="0" borderId="2" xfId="0" applyFont="1" applyBorder="1" applyAlignment="1">
      <alignment horizontal="left"/>
    </xf>
    <xf numFmtId="0" fontId="9" fillId="3" borderId="1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6" fillId="2" borderId="0" xfId="0" applyFont="1" applyFill="1" applyAlignment="1">
      <alignment vertical="center"/>
    </xf>
    <xf numFmtId="0" fontId="0" fillId="2" borderId="6" xfId="0" applyFill="1" applyBorder="1"/>
    <xf numFmtId="0" fontId="13" fillId="2" borderId="0" xfId="2" applyFont="1" applyFill="1" applyAlignment="1">
      <alignment horizontal="center" vertical="center"/>
    </xf>
    <xf numFmtId="0" fontId="14" fillId="2" borderId="0" xfId="0" applyFont="1" applyFill="1"/>
    <xf numFmtId="0" fontId="14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1" fillId="2" borderId="0" xfId="0" applyFont="1" applyFill="1" applyAlignment="1">
      <alignment horizontal="left"/>
    </xf>
    <xf numFmtId="0" fontId="14" fillId="2" borderId="0" xfId="0" applyFont="1" applyFill="1" applyAlignment="1">
      <alignment horizontal="left"/>
    </xf>
    <xf numFmtId="0" fontId="17" fillId="2" borderId="0" xfId="0" applyFont="1" applyFill="1" applyAlignment="1">
      <alignment horizontal="left"/>
    </xf>
    <xf numFmtId="0" fontId="14" fillId="2" borderId="0" xfId="0" applyFont="1" applyFill="1" applyAlignment="1">
      <alignment horizontal="left" vertical="center"/>
    </xf>
    <xf numFmtId="14" fontId="0" fillId="2" borderId="0" xfId="0" applyNumberForma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21" fillId="0" borderId="2" xfId="0" applyFont="1" applyBorder="1"/>
    <xf numFmtId="14" fontId="15" fillId="2" borderId="2" xfId="0" applyNumberFormat="1" applyFont="1" applyFill="1" applyBorder="1" applyAlignment="1">
      <alignment horizontal="left" vertical="center" wrapText="1"/>
    </xf>
    <xf numFmtId="14" fontId="8" fillId="2" borderId="2" xfId="0" applyNumberFormat="1" applyFont="1" applyFill="1" applyBorder="1" applyAlignment="1">
      <alignment horizontal="left" vertical="top" wrapText="1"/>
    </xf>
    <xf numFmtId="14" fontId="8" fillId="2" borderId="1" xfId="0" applyNumberFormat="1" applyFont="1" applyFill="1" applyBorder="1" applyAlignment="1">
      <alignment horizontal="left" vertical="center"/>
    </xf>
    <xf numFmtId="14" fontId="8" fillId="2" borderId="1" xfId="0" applyNumberFormat="1" applyFont="1" applyFill="1" applyBorder="1" applyAlignment="1">
      <alignment horizontal="left" vertical="center" wrapText="1"/>
    </xf>
    <xf numFmtId="14" fontId="8" fillId="2" borderId="10" xfId="0" applyNumberFormat="1" applyFont="1" applyFill="1" applyBorder="1" applyAlignment="1">
      <alignment horizontal="left" vertical="center" wrapText="1"/>
    </xf>
    <xf numFmtId="14" fontId="0" fillId="2" borderId="2" xfId="0" applyNumberFormat="1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14" fontId="18" fillId="2" borderId="2" xfId="0" applyNumberFormat="1" applyFont="1" applyFill="1" applyBorder="1"/>
    <xf numFmtId="0" fontId="8" fillId="2" borderId="0" xfId="0" applyFont="1" applyFill="1" applyAlignment="1">
      <alignment horizontal="center" vertical="top"/>
    </xf>
    <xf numFmtId="0" fontId="8" fillId="8" borderId="3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0" fillId="2" borderId="0" xfId="0" applyFill="1" applyAlignment="1">
      <alignment horizontal="left" vertical="center"/>
    </xf>
    <xf numFmtId="0" fontId="8" fillId="0" borderId="15" xfId="0" applyFont="1" applyBorder="1" applyAlignment="1">
      <alignment horizontal="left" wrapText="1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top"/>
    </xf>
    <xf numFmtId="0" fontId="14" fillId="0" borderId="5" xfId="0" applyFont="1" applyBorder="1" applyAlignment="1">
      <alignment horizontal="left"/>
    </xf>
    <xf numFmtId="14" fontId="6" fillId="2" borderId="7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7" borderId="4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1" fillId="2" borderId="4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28" fillId="2" borderId="0" xfId="0" applyFont="1" applyFill="1" applyAlignment="1">
      <alignment vertical="center" wrapText="1"/>
    </xf>
    <xf numFmtId="0" fontId="29" fillId="2" borderId="0" xfId="0" applyFont="1" applyFill="1" applyAlignment="1">
      <alignment vertical="center" wrapText="1"/>
    </xf>
    <xf numFmtId="0" fontId="2" fillId="2" borderId="0" xfId="0" applyFont="1" applyFill="1"/>
    <xf numFmtId="0" fontId="6" fillId="0" borderId="2" xfId="0" applyFont="1" applyBorder="1" applyAlignment="1">
      <alignment vertical="center"/>
    </xf>
    <xf numFmtId="0" fontId="8" fillId="2" borderId="6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left" vertical="top"/>
    </xf>
    <xf numFmtId="1" fontId="8" fillId="0" borderId="13" xfId="0" applyNumberFormat="1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/>
    </xf>
    <xf numFmtId="0" fontId="8" fillId="0" borderId="13" xfId="0" applyFont="1" applyBorder="1" applyAlignment="1">
      <alignment horizontal="left" vertical="top" wrapText="1"/>
    </xf>
    <xf numFmtId="0" fontId="6" fillId="2" borderId="13" xfId="0" applyFont="1" applyFill="1" applyBorder="1" applyAlignment="1">
      <alignment horizontal="left" vertical="top" wrapText="1"/>
    </xf>
    <xf numFmtId="14" fontId="8" fillId="2" borderId="13" xfId="0" applyNumberFormat="1" applyFont="1" applyFill="1" applyBorder="1" applyAlignment="1">
      <alignment horizontal="left" vertical="top" wrapText="1"/>
    </xf>
    <xf numFmtId="0" fontId="6" fillId="2" borderId="13" xfId="0" applyFont="1" applyFill="1" applyBorder="1" applyAlignment="1">
      <alignment horizontal="left" vertical="top"/>
    </xf>
    <xf numFmtId="1" fontId="8" fillId="0" borderId="13" xfId="0" applyNumberFormat="1" applyFont="1" applyBorder="1" applyAlignment="1">
      <alignment horizontal="left" vertical="top"/>
    </xf>
    <xf numFmtId="0" fontId="8" fillId="0" borderId="13" xfId="0" applyFont="1" applyBorder="1" applyAlignment="1">
      <alignment horizontal="center" vertical="top"/>
    </xf>
    <xf numFmtId="0" fontId="6" fillId="0" borderId="13" xfId="0" applyFont="1" applyBorder="1" applyAlignment="1">
      <alignment horizontal="left" vertical="top"/>
    </xf>
    <xf numFmtId="0" fontId="8" fillId="0" borderId="3" xfId="0" applyFont="1" applyBorder="1" applyAlignment="1">
      <alignment horizontal="center" vertical="center"/>
    </xf>
    <xf numFmtId="11" fontId="8" fillId="0" borderId="2" xfId="0" applyNumberFormat="1" applyFont="1" applyBorder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14" fontId="14" fillId="4" borderId="2" xfId="0" applyNumberFormat="1" applyFont="1" applyFill="1" applyBorder="1" applyAlignment="1">
      <alignment vertical="center"/>
    </xf>
    <xf numFmtId="0" fontId="26" fillId="2" borderId="2" xfId="0" applyFont="1" applyFill="1" applyBorder="1" applyAlignment="1">
      <alignment horizontal="left" vertical="center"/>
    </xf>
    <xf numFmtId="0" fontId="28" fillId="2" borderId="2" xfId="0" applyFont="1" applyFill="1" applyBorder="1" applyAlignment="1">
      <alignment horizontal="left" vertical="center"/>
    </xf>
    <xf numFmtId="0" fontId="28" fillId="2" borderId="0" xfId="0" applyFont="1" applyFill="1" applyAlignment="1">
      <alignment horizontal="left" vertical="center"/>
    </xf>
    <xf numFmtId="0" fontId="29" fillId="2" borderId="0" xfId="0" applyFont="1" applyFill="1" applyAlignment="1">
      <alignment horizontal="left" vertical="center"/>
    </xf>
    <xf numFmtId="49" fontId="6" fillId="2" borderId="6" xfId="0" applyNumberFormat="1" applyFont="1" applyFill="1" applyBorder="1" applyAlignment="1">
      <alignment horizontal="left" vertical="center" wrapText="1"/>
    </xf>
    <xf numFmtId="49" fontId="6" fillId="2" borderId="13" xfId="0" applyNumberFormat="1" applyFont="1" applyFill="1" applyBorder="1" applyAlignment="1">
      <alignment horizontal="left" vertical="center" wrapText="1"/>
    </xf>
    <xf numFmtId="49" fontId="6" fillId="2" borderId="0" xfId="0" applyNumberFormat="1" applyFont="1" applyFill="1" applyAlignment="1">
      <alignment horizontal="left" vertical="center" wrapText="1"/>
    </xf>
    <xf numFmtId="49" fontId="6" fillId="2" borderId="15" xfId="0" applyNumberFormat="1" applyFont="1" applyFill="1" applyBorder="1" applyAlignment="1">
      <alignment horizontal="left" vertical="top" wrapText="1"/>
    </xf>
    <xf numFmtId="49" fontId="6" fillId="2" borderId="6" xfId="0" applyNumberFormat="1" applyFont="1" applyFill="1" applyBorder="1" applyAlignment="1">
      <alignment horizontal="left" vertical="top" wrapText="1"/>
    </xf>
    <xf numFmtId="49" fontId="6" fillId="2" borderId="0" xfId="0" applyNumberFormat="1" applyFont="1" applyFill="1" applyAlignment="1">
      <alignment horizontal="left" vertical="top" wrapText="1"/>
    </xf>
    <xf numFmtId="49" fontId="6" fillId="2" borderId="11" xfId="0" applyNumberFormat="1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14" fontId="8" fillId="2" borderId="0" xfId="0" applyNumberFormat="1" applyFont="1" applyFill="1" applyAlignment="1">
      <alignment horizontal="left" vertical="top"/>
    </xf>
    <xf numFmtId="1" fontId="8" fillId="0" borderId="0" xfId="0" applyNumberFormat="1" applyFont="1" applyAlignment="1">
      <alignment horizontal="left" vertical="top"/>
    </xf>
    <xf numFmtId="0" fontId="8" fillId="0" borderId="0" xfId="2" applyFont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center" vertical="center"/>
    </xf>
    <xf numFmtId="14" fontId="6" fillId="2" borderId="0" xfId="0" applyNumberFormat="1" applyFont="1" applyFill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center" vertical="center"/>
    </xf>
    <xf numFmtId="14" fontId="8" fillId="5" borderId="2" xfId="0" applyNumberFormat="1" applyFont="1" applyFill="1" applyBorder="1" applyAlignment="1">
      <alignment horizontal="left" vertical="center"/>
    </xf>
    <xf numFmtId="14" fontId="6" fillId="5" borderId="2" xfId="0" applyNumberFormat="1" applyFont="1" applyFill="1" applyBorder="1" applyAlignment="1">
      <alignment horizontal="left" vertical="center"/>
    </xf>
    <xf numFmtId="14" fontId="11" fillId="2" borderId="2" xfId="0" applyNumberFormat="1" applyFont="1" applyFill="1" applyBorder="1" applyAlignment="1">
      <alignment horizontal="left" vertical="center" wrapText="1"/>
    </xf>
    <xf numFmtId="0" fontId="8" fillId="2" borderId="19" xfId="0" applyFont="1" applyFill="1" applyBorder="1" applyAlignment="1">
      <alignment horizontal="left" vertical="center"/>
    </xf>
    <xf numFmtId="0" fontId="8" fillId="3" borderId="20" xfId="0" applyFont="1" applyFill="1" applyBorder="1" applyAlignment="1">
      <alignment horizontal="left" vertical="center"/>
    </xf>
    <xf numFmtId="0" fontId="8" fillId="2" borderId="21" xfId="0" applyFont="1" applyFill="1" applyBorder="1" applyAlignment="1">
      <alignment horizontal="left" vertical="center"/>
    </xf>
    <xf numFmtId="0" fontId="8" fillId="2" borderId="22" xfId="0" applyFont="1" applyFill="1" applyBorder="1" applyAlignment="1">
      <alignment horizontal="left" vertical="center"/>
    </xf>
    <xf numFmtId="0" fontId="8" fillId="2" borderId="23" xfId="0" applyFont="1" applyFill="1" applyBorder="1" applyAlignment="1">
      <alignment horizontal="left" vertical="center"/>
    </xf>
    <xf numFmtId="0" fontId="6" fillId="2" borderId="24" xfId="0" applyFont="1" applyFill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horizontal="center" vertical="center"/>
    </xf>
    <xf numFmtId="14" fontId="8" fillId="2" borderId="25" xfId="0" applyNumberFormat="1" applyFont="1" applyFill="1" applyBorder="1" applyAlignment="1">
      <alignment horizontal="left" vertical="center"/>
    </xf>
    <xf numFmtId="14" fontId="6" fillId="0" borderId="25" xfId="0" applyNumberFormat="1" applyFont="1" applyBorder="1" applyAlignment="1">
      <alignment horizontal="left" vertical="center"/>
    </xf>
    <xf numFmtId="0" fontId="0" fillId="0" borderId="26" xfId="0" applyBorder="1"/>
    <xf numFmtId="0" fontId="8" fillId="0" borderId="25" xfId="0" applyFont="1" applyBorder="1" applyAlignment="1">
      <alignment horizontal="left"/>
    </xf>
    <xf numFmtId="0" fontId="8" fillId="0" borderId="25" xfId="0" applyFont="1" applyBorder="1" applyAlignment="1">
      <alignment horizontal="left" wrapText="1"/>
    </xf>
    <xf numFmtId="0" fontId="8" fillId="0" borderId="25" xfId="0" applyFont="1" applyBorder="1" applyAlignment="1">
      <alignment horizontal="left" vertical="center" wrapText="1"/>
    </xf>
    <xf numFmtId="14" fontId="8" fillId="2" borderId="25" xfId="0" applyNumberFormat="1" applyFont="1" applyFill="1" applyBorder="1" applyAlignment="1">
      <alignment horizontal="left" vertical="center" wrapText="1"/>
    </xf>
    <xf numFmtId="1" fontId="8" fillId="0" borderId="25" xfId="0" applyNumberFormat="1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/>
    </xf>
    <xf numFmtId="0" fontId="6" fillId="2" borderId="28" xfId="0" applyFont="1" applyFill="1" applyBorder="1" applyAlignment="1">
      <alignment horizontal="left" vertical="center"/>
    </xf>
    <xf numFmtId="1" fontId="14" fillId="0" borderId="0" xfId="0" applyNumberFormat="1" applyFont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6" fillId="4" borderId="28" xfId="0" applyFont="1" applyFill="1" applyBorder="1" applyAlignment="1">
      <alignment horizontal="left" vertical="center"/>
    </xf>
    <xf numFmtId="0" fontId="6" fillId="2" borderId="30" xfId="0" applyFont="1" applyFill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8" fillId="0" borderId="32" xfId="0" applyFont="1" applyBorder="1" applyAlignment="1">
      <alignment horizontal="center" vertical="center"/>
    </xf>
    <xf numFmtId="1" fontId="8" fillId="0" borderId="33" xfId="0" applyNumberFormat="1" applyFont="1" applyBorder="1" applyAlignment="1">
      <alignment horizontal="left" vertical="center"/>
    </xf>
    <xf numFmtId="14" fontId="6" fillId="0" borderId="32" xfId="0" applyNumberFormat="1" applyFont="1" applyBorder="1" applyAlignment="1">
      <alignment horizontal="left" vertical="center"/>
    </xf>
    <xf numFmtId="0" fontId="0" fillId="0" borderId="34" xfId="0" applyBorder="1"/>
    <xf numFmtId="0" fontId="8" fillId="0" borderId="32" xfId="0" applyFont="1" applyBorder="1" applyAlignment="1">
      <alignment horizontal="left"/>
    </xf>
    <xf numFmtId="0" fontId="8" fillId="0" borderId="32" xfId="0" applyFont="1" applyBorder="1" applyAlignment="1">
      <alignment horizontal="left" vertical="center"/>
    </xf>
    <xf numFmtId="14" fontId="8" fillId="2" borderId="32" xfId="0" applyNumberFormat="1" applyFont="1" applyFill="1" applyBorder="1" applyAlignment="1">
      <alignment horizontal="left" vertical="center"/>
    </xf>
    <xf numFmtId="1" fontId="8" fillId="0" borderId="32" xfId="0" applyNumberFormat="1" applyFont="1" applyBorder="1" applyAlignment="1">
      <alignment horizontal="left" vertical="center"/>
    </xf>
    <xf numFmtId="0" fontId="8" fillId="0" borderId="35" xfId="0" applyFont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36" xfId="0" applyFont="1" applyFill="1" applyBorder="1" applyAlignment="1">
      <alignment horizontal="left" vertical="center"/>
    </xf>
    <xf numFmtId="0" fontId="8" fillId="5" borderId="36" xfId="0" applyFont="1" applyFill="1" applyBorder="1" applyAlignment="1">
      <alignment horizontal="center" vertical="center"/>
    </xf>
    <xf numFmtId="14" fontId="6" fillId="5" borderId="36" xfId="0" applyNumberFormat="1" applyFont="1" applyFill="1" applyBorder="1" applyAlignment="1">
      <alignment horizontal="left" vertical="center"/>
    </xf>
    <xf numFmtId="14" fontId="8" fillId="5" borderId="36" xfId="0" applyNumberFormat="1" applyFont="1" applyFill="1" applyBorder="1" applyAlignment="1">
      <alignment horizontal="left" vertical="center"/>
    </xf>
    <xf numFmtId="0" fontId="0" fillId="5" borderId="37" xfId="0" applyFill="1" applyBorder="1"/>
    <xf numFmtId="0" fontId="6" fillId="5" borderId="28" xfId="0" applyFont="1" applyFill="1" applyBorder="1" applyAlignment="1">
      <alignment horizontal="left" vertical="center"/>
    </xf>
    <xf numFmtId="0" fontId="0" fillId="5" borderId="38" xfId="0" applyFill="1" applyBorder="1"/>
    <xf numFmtId="0" fontId="0" fillId="0" borderId="38" xfId="0" applyBorder="1"/>
    <xf numFmtId="14" fontId="8" fillId="0" borderId="32" xfId="0" applyNumberFormat="1" applyFont="1" applyBorder="1" applyAlignment="1">
      <alignment horizontal="left" vertical="center"/>
    </xf>
    <xf numFmtId="14" fontId="6" fillId="2" borderId="32" xfId="0" applyNumberFormat="1" applyFont="1" applyFill="1" applyBorder="1" applyAlignment="1">
      <alignment horizontal="left" vertical="center"/>
    </xf>
    <xf numFmtId="0" fontId="0" fillId="0" borderId="39" xfId="0" applyBorder="1"/>
    <xf numFmtId="0" fontId="8" fillId="0" borderId="24" xfId="0" applyFont="1" applyBorder="1" applyAlignment="1">
      <alignment horizontal="left"/>
    </xf>
    <xf numFmtId="0" fontId="8" fillId="0" borderId="25" xfId="0" applyFont="1" applyBorder="1" applyAlignment="1">
      <alignment horizontal="left" vertical="center"/>
    </xf>
    <xf numFmtId="1" fontId="8" fillId="0" borderId="25" xfId="0" applyNumberFormat="1" applyFont="1" applyBorder="1" applyAlignment="1">
      <alignment horizontal="left" vertical="center"/>
    </xf>
    <xf numFmtId="0" fontId="6" fillId="0" borderId="28" xfId="0" applyFont="1" applyBorder="1" applyAlignment="1">
      <alignment horizontal="left"/>
    </xf>
    <xf numFmtId="0" fontId="8" fillId="0" borderId="28" xfId="0" applyFont="1" applyBorder="1" applyAlignment="1">
      <alignment horizontal="left"/>
    </xf>
    <xf numFmtId="0" fontId="8" fillId="0" borderId="30" xfId="0" applyFont="1" applyBorder="1" applyAlignment="1">
      <alignment horizontal="left"/>
    </xf>
    <xf numFmtId="14" fontId="8" fillId="2" borderId="32" xfId="0" applyNumberFormat="1" applyFont="1" applyFill="1" applyBorder="1" applyAlignment="1">
      <alignment horizontal="left" vertical="center" wrapText="1"/>
    </xf>
    <xf numFmtId="1" fontId="8" fillId="0" borderId="32" xfId="0" applyNumberFormat="1" applyFont="1" applyBorder="1" applyAlignment="1">
      <alignment horizontal="left" vertical="center" wrapText="1"/>
    </xf>
    <xf numFmtId="0" fontId="8" fillId="3" borderId="40" xfId="0" applyFont="1" applyFill="1" applyBorder="1" applyAlignment="1">
      <alignment horizontal="left" vertical="center"/>
    </xf>
    <xf numFmtId="0" fontId="8" fillId="3" borderId="17" xfId="0" applyFont="1" applyFill="1" applyBorder="1" applyAlignment="1">
      <alignment horizontal="left" vertical="center" wrapText="1"/>
    </xf>
    <xf numFmtId="0" fontId="8" fillId="2" borderId="19" xfId="0" applyFont="1" applyFill="1" applyBorder="1" applyAlignment="1">
      <alignment horizontal="left" vertical="center" wrapText="1"/>
    </xf>
    <xf numFmtId="0" fontId="8" fillId="3" borderId="20" xfId="0" applyFont="1" applyFill="1" applyBorder="1" applyAlignment="1">
      <alignment horizontal="left" vertical="center" wrapText="1"/>
    </xf>
    <xf numFmtId="0" fontId="8" fillId="2" borderId="22" xfId="0" applyFont="1" applyFill="1" applyBorder="1" applyAlignment="1">
      <alignment horizontal="left" vertical="center" wrapText="1"/>
    </xf>
    <xf numFmtId="0" fontId="8" fillId="2" borderId="23" xfId="0" applyFont="1" applyFill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/>
    </xf>
    <xf numFmtId="14" fontId="8" fillId="0" borderId="25" xfId="0" applyNumberFormat="1" applyFont="1" applyBorder="1" applyAlignment="1">
      <alignment horizontal="left" vertical="center"/>
    </xf>
    <xf numFmtId="0" fontId="8" fillId="2" borderId="29" xfId="0" applyFont="1" applyFill="1" applyBorder="1" applyAlignment="1">
      <alignment horizontal="left" vertical="center"/>
    </xf>
    <xf numFmtId="0" fontId="6" fillId="4" borderId="42" xfId="0" applyFont="1" applyFill="1" applyBorder="1" applyAlignment="1">
      <alignment horizontal="left" vertical="center"/>
    </xf>
    <xf numFmtId="0" fontId="8" fillId="2" borderId="43" xfId="0" applyFont="1" applyFill="1" applyBorder="1" applyAlignment="1">
      <alignment horizontal="left" vertical="center"/>
    </xf>
    <xf numFmtId="0" fontId="8" fillId="0" borderId="43" xfId="0" applyFont="1" applyBorder="1" applyAlignment="1">
      <alignment horizontal="center" vertical="center"/>
    </xf>
    <xf numFmtId="14" fontId="8" fillId="0" borderId="43" xfId="0" applyNumberFormat="1" applyFont="1" applyBorder="1" applyAlignment="1">
      <alignment horizontal="left" vertical="center"/>
    </xf>
    <xf numFmtId="14" fontId="6" fillId="0" borderId="43" xfId="0" applyNumberFormat="1" applyFont="1" applyBorder="1" applyAlignment="1">
      <alignment horizontal="left" vertical="center"/>
    </xf>
    <xf numFmtId="0" fontId="8" fillId="0" borderId="32" xfId="0" applyFont="1" applyBorder="1" applyAlignment="1">
      <alignment horizontal="left" vertical="center" wrapText="1"/>
    </xf>
    <xf numFmtId="0" fontId="8" fillId="3" borderId="16" xfId="0" applyFont="1" applyFill="1" applyBorder="1" applyAlignment="1">
      <alignment horizontal="left" vertical="center" wrapText="1"/>
    </xf>
    <xf numFmtId="0" fontId="8" fillId="3" borderId="44" xfId="0" applyFont="1" applyFill="1" applyBorder="1" applyAlignment="1">
      <alignment horizontal="left" vertical="center" wrapText="1"/>
    </xf>
    <xf numFmtId="0" fontId="6" fillId="4" borderId="24" xfId="0" applyFont="1" applyFill="1" applyBorder="1" applyAlignment="1">
      <alignment horizontal="left" vertical="center"/>
    </xf>
    <xf numFmtId="0" fontId="6" fillId="4" borderId="25" xfId="0" applyFont="1" applyFill="1" applyBorder="1" applyAlignment="1">
      <alignment horizontal="left" vertical="center"/>
    </xf>
    <xf numFmtId="0" fontId="8" fillId="4" borderId="25" xfId="0" applyFont="1" applyFill="1" applyBorder="1" applyAlignment="1">
      <alignment horizontal="center" vertical="center"/>
    </xf>
    <xf numFmtId="14" fontId="6" fillId="4" borderId="45" xfId="0" applyNumberFormat="1" applyFont="1" applyFill="1" applyBorder="1" applyAlignment="1">
      <alignment horizontal="left" vertical="center" wrapText="1"/>
    </xf>
    <xf numFmtId="14" fontId="6" fillId="4" borderId="25" xfId="0" applyNumberFormat="1" applyFont="1" applyFill="1" applyBorder="1" applyAlignment="1">
      <alignment horizontal="left" vertical="center"/>
    </xf>
    <xf numFmtId="0" fontId="0" fillId="0" borderId="26" xfId="0" applyBorder="1" applyAlignment="1">
      <alignment horizontal="left"/>
    </xf>
    <xf numFmtId="0" fontId="0" fillId="2" borderId="26" xfId="0" applyFill="1" applyBorder="1" applyAlignment="1">
      <alignment horizontal="left"/>
    </xf>
    <xf numFmtId="0" fontId="0" fillId="0" borderId="37" xfId="0" applyBorder="1" applyAlignment="1">
      <alignment horizontal="left"/>
    </xf>
    <xf numFmtId="0" fontId="6" fillId="4" borderId="30" xfId="0" applyFont="1" applyFill="1" applyBorder="1" applyAlignment="1">
      <alignment horizontal="left" vertical="center"/>
    </xf>
    <xf numFmtId="0" fontId="6" fillId="4" borderId="31" xfId="0" applyFont="1" applyFill="1" applyBorder="1" applyAlignment="1">
      <alignment horizontal="left" vertical="center"/>
    </xf>
    <xf numFmtId="0" fontId="8" fillId="4" borderId="32" xfId="0" applyFont="1" applyFill="1" applyBorder="1" applyAlignment="1">
      <alignment horizontal="center" vertical="center"/>
    </xf>
    <xf numFmtId="14" fontId="6" fillId="4" borderId="33" xfId="0" applyNumberFormat="1" applyFont="1" applyFill="1" applyBorder="1" applyAlignment="1">
      <alignment horizontal="left" vertical="center" wrapText="1"/>
    </xf>
    <xf numFmtId="0" fontId="0" fillId="4" borderId="47" xfId="0" applyFill="1" applyBorder="1"/>
    <xf numFmtId="0" fontId="0" fillId="0" borderId="32" xfId="0" applyBorder="1" applyAlignment="1">
      <alignment horizontal="left"/>
    </xf>
    <xf numFmtId="14" fontId="0" fillId="2" borderId="32" xfId="0" applyNumberFormat="1" applyFill="1" applyBorder="1" applyAlignment="1">
      <alignment horizontal="left"/>
    </xf>
    <xf numFmtId="0" fontId="0" fillId="0" borderId="35" xfId="0" applyBorder="1" applyAlignment="1">
      <alignment horizontal="left"/>
    </xf>
    <xf numFmtId="0" fontId="0" fillId="10" borderId="0" xfId="0" applyFill="1"/>
    <xf numFmtId="14" fontId="6" fillId="4" borderId="43" xfId="0" applyNumberFormat="1" applyFont="1" applyFill="1" applyBorder="1" applyAlignment="1">
      <alignment horizontal="left" vertical="center"/>
    </xf>
    <xf numFmtId="0" fontId="0" fillId="4" borderId="2" xfId="0" applyFill="1" applyBorder="1"/>
    <xf numFmtId="0" fontId="0" fillId="0" borderId="25" xfId="0" applyBorder="1"/>
    <xf numFmtId="0" fontId="0" fillId="0" borderId="32" xfId="0" applyBorder="1"/>
    <xf numFmtId="0" fontId="8" fillId="3" borderId="48" xfId="0" applyFont="1" applyFill="1" applyBorder="1" applyAlignment="1">
      <alignment horizontal="left" vertical="center" wrapText="1"/>
    </xf>
    <xf numFmtId="0" fontId="6" fillId="2" borderId="49" xfId="0" applyFont="1" applyFill="1" applyBorder="1" applyAlignment="1">
      <alignment horizontal="left" vertical="center"/>
    </xf>
    <xf numFmtId="0" fontId="0" fillId="0" borderId="40" xfId="0" applyBorder="1"/>
    <xf numFmtId="0" fontId="0" fillId="0" borderId="19" xfId="0" applyBorder="1"/>
    <xf numFmtId="0" fontId="0" fillId="0" borderId="16" xfId="0" applyBorder="1"/>
    <xf numFmtId="0" fontId="0" fillId="4" borderId="25" xfId="0" applyFill="1" applyBorder="1"/>
    <xf numFmtId="49" fontId="6" fillId="11" borderId="11" xfId="0" applyNumberFormat="1" applyFont="1" applyFill="1" applyBorder="1" applyAlignment="1">
      <alignment horizontal="left" vertical="center" wrapText="1"/>
    </xf>
    <xf numFmtId="49" fontId="6" fillId="11" borderId="3" xfId="0" applyNumberFormat="1" applyFont="1" applyFill="1" applyBorder="1" applyAlignment="1">
      <alignment horizontal="left" vertical="center" wrapText="1"/>
    </xf>
    <xf numFmtId="49" fontId="6" fillId="11" borderId="15" xfId="0" applyNumberFormat="1" applyFont="1" applyFill="1" applyBorder="1" applyAlignment="1">
      <alignment horizontal="left" vertical="top" wrapText="1"/>
    </xf>
    <xf numFmtId="0" fontId="6" fillId="11" borderId="2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4" fontId="18" fillId="2" borderId="0" xfId="0" applyNumberFormat="1" applyFont="1" applyFill="1"/>
    <xf numFmtId="0" fontId="6" fillId="0" borderId="7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21" fillId="0" borderId="0" xfId="0" applyFont="1"/>
    <xf numFmtId="0" fontId="21" fillId="0" borderId="7" xfId="0" applyFont="1" applyBorder="1"/>
    <xf numFmtId="14" fontId="18" fillId="2" borderId="7" xfId="0" applyNumberFormat="1" applyFont="1" applyFill="1" applyBorder="1"/>
    <xf numFmtId="49" fontId="6" fillId="2" borderId="10" xfId="0" applyNumberFormat="1" applyFont="1" applyFill="1" applyBorder="1" applyAlignment="1">
      <alignment horizontal="left" vertical="top" wrapText="1"/>
    </xf>
    <xf numFmtId="0" fontId="11" fillId="2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8" fillId="2" borderId="53" xfId="0" applyFont="1" applyFill="1" applyBorder="1" applyAlignment="1">
      <alignment horizontal="left" vertical="center"/>
    </xf>
    <xf numFmtId="0" fontId="6" fillId="2" borderId="25" xfId="0" applyFont="1" applyFill="1" applyBorder="1" applyAlignment="1">
      <alignment horizontal="left" vertical="center"/>
    </xf>
    <xf numFmtId="0" fontId="8" fillId="0" borderId="25" xfId="0" applyFont="1" applyBorder="1" applyAlignment="1">
      <alignment horizontal="center" vertical="top"/>
    </xf>
    <xf numFmtId="0" fontId="8" fillId="0" borderId="25" xfId="0" applyFont="1" applyBorder="1"/>
    <xf numFmtId="0" fontId="6" fillId="2" borderId="25" xfId="0" applyFont="1" applyFill="1" applyBorder="1" applyAlignment="1">
      <alignment horizontal="left" vertical="center" wrapText="1"/>
    </xf>
    <xf numFmtId="16" fontId="8" fillId="0" borderId="27" xfId="2" applyNumberFormat="1" applyFont="1" applyBorder="1" applyAlignment="1">
      <alignment horizontal="center" vertical="center"/>
    </xf>
    <xf numFmtId="0" fontId="8" fillId="0" borderId="29" xfId="2" applyFont="1" applyBorder="1" applyAlignment="1">
      <alignment horizontal="center" vertical="center"/>
    </xf>
    <xf numFmtId="0" fontId="8" fillId="2" borderId="55" xfId="0" applyFont="1" applyFill="1" applyBorder="1" applyAlignment="1">
      <alignment horizontal="left" vertical="center"/>
    </xf>
    <xf numFmtId="0" fontId="6" fillId="2" borderId="32" xfId="0" applyFont="1" applyFill="1" applyBorder="1" applyAlignment="1">
      <alignment horizontal="left" vertical="center"/>
    </xf>
    <xf numFmtId="0" fontId="8" fillId="0" borderId="34" xfId="0" applyFont="1" applyBorder="1" applyAlignment="1">
      <alignment horizontal="center" vertical="center"/>
    </xf>
    <xf numFmtId="0" fontId="14" fillId="0" borderId="32" xfId="0" applyFont="1" applyBorder="1"/>
    <xf numFmtId="0" fontId="8" fillId="0" borderId="32" xfId="0" applyFont="1" applyBorder="1"/>
    <xf numFmtId="0" fontId="6" fillId="2" borderId="32" xfId="0" applyFont="1" applyFill="1" applyBorder="1" applyAlignment="1">
      <alignment horizontal="left" vertical="center" wrapText="1"/>
    </xf>
    <xf numFmtId="0" fontId="8" fillId="0" borderId="35" xfId="2" applyFont="1" applyBorder="1" applyAlignment="1">
      <alignment horizontal="center" vertical="center"/>
    </xf>
    <xf numFmtId="0" fontId="6" fillId="2" borderId="12" xfId="0" applyFont="1" applyFill="1" applyBorder="1" applyAlignment="1">
      <alignment horizontal="left" vertical="center" wrapText="1"/>
    </xf>
    <xf numFmtId="14" fontId="8" fillId="2" borderId="12" xfId="0" applyNumberFormat="1" applyFont="1" applyFill="1" applyBorder="1" applyAlignment="1">
      <alignment horizontal="left" vertical="center" wrapText="1"/>
    </xf>
    <xf numFmtId="1" fontId="8" fillId="0" borderId="12" xfId="0" applyNumberFormat="1" applyFont="1" applyBorder="1" applyAlignment="1">
      <alignment horizontal="left" vertical="center" wrapText="1"/>
    </xf>
    <xf numFmtId="0" fontId="8" fillId="0" borderId="12" xfId="1" applyNumberFormat="1" applyFont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14" fontId="11" fillId="2" borderId="25" xfId="0" applyNumberFormat="1" applyFont="1" applyFill="1" applyBorder="1" applyAlignment="1">
      <alignment horizontal="left" vertical="center"/>
    </xf>
    <xf numFmtId="16" fontId="8" fillId="0" borderId="27" xfId="1" applyNumberFormat="1" applyFont="1" applyBorder="1" applyAlignment="1">
      <alignment horizontal="center" vertical="center"/>
    </xf>
    <xf numFmtId="0" fontId="8" fillId="0" borderId="29" xfId="1" applyNumberFormat="1" applyFont="1" applyBorder="1" applyAlignment="1">
      <alignment horizontal="center" vertical="center"/>
    </xf>
    <xf numFmtId="0" fontId="8" fillId="0" borderId="35" xfId="1" applyNumberFormat="1" applyFont="1" applyBorder="1" applyAlignment="1">
      <alignment horizontal="center" vertical="center"/>
    </xf>
    <xf numFmtId="0" fontId="14" fillId="0" borderId="57" xfId="0" applyFont="1" applyBorder="1"/>
    <xf numFmtId="0" fontId="14" fillId="0" borderId="9" xfId="0" applyFont="1" applyBorder="1"/>
    <xf numFmtId="0" fontId="8" fillId="0" borderId="5" xfId="0" applyFont="1" applyBorder="1"/>
    <xf numFmtId="14" fontId="8" fillId="2" borderId="5" xfId="0" applyNumberFormat="1" applyFont="1" applyFill="1" applyBorder="1" applyAlignment="1">
      <alignment horizontal="left" vertical="center"/>
    </xf>
    <xf numFmtId="0" fontId="6" fillId="2" borderId="36" xfId="0" applyFont="1" applyFill="1" applyBorder="1" applyAlignment="1">
      <alignment horizontal="left" vertical="center"/>
    </xf>
    <xf numFmtId="0" fontId="8" fillId="2" borderId="36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left" vertical="center"/>
    </xf>
    <xf numFmtId="0" fontId="8" fillId="2" borderId="53" xfId="0" applyFont="1" applyFill="1" applyBorder="1" applyAlignment="1">
      <alignment vertical="center"/>
    </xf>
    <xf numFmtId="0" fontId="8" fillId="2" borderId="22" xfId="0" applyFont="1" applyFill="1" applyBorder="1" applyAlignment="1">
      <alignment vertical="center"/>
    </xf>
    <xf numFmtId="0" fontId="8" fillId="0" borderId="59" xfId="2" applyFont="1" applyBorder="1" applyAlignment="1">
      <alignment horizontal="center" vertical="center"/>
    </xf>
    <xf numFmtId="0" fontId="8" fillId="2" borderId="23" xfId="0" applyFont="1" applyFill="1" applyBorder="1" applyAlignment="1">
      <alignment vertical="center"/>
    </xf>
    <xf numFmtId="0" fontId="8" fillId="0" borderId="34" xfId="0" applyFont="1" applyBorder="1" applyAlignment="1">
      <alignment horizontal="left" vertical="center"/>
    </xf>
    <xf numFmtId="0" fontId="8" fillId="2" borderId="45" xfId="0" applyFont="1" applyFill="1" applyBorder="1" applyAlignment="1">
      <alignment horizontal="left" vertical="center"/>
    </xf>
    <xf numFmtId="0" fontId="8" fillId="2" borderId="21" xfId="0" applyFont="1" applyFill="1" applyBorder="1" applyAlignment="1">
      <alignment vertical="center"/>
    </xf>
    <xf numFmtId="0" fontId="6" fillId="0" borderId="32" xfId="0" applyFont="1" applyBorder="1" applyAlignment="1">
      <alignment horizontal="left" vertical="center"/>
    </xf>
    <xf numFmtId="0" fontId="14" fillId="0" borderId="43" xfId="0" applyFont="1" applyBorder="1"/>
    <xf numFmtId="0" fontId="8" fillId="0" borderId="43" xfId="0" applyFont="1" applyBorder="1"/>
    <xf numFmtId="0" fontId="8" fillId="0" borderId="0" xfId="0" applyFont="1" applyAlignment="1">
      <alignment horizontal="left" vertical="top" wrapText="1"/>
    </xf>
    <xf numFmtId="14" fontId="8" fillId="2" borderId="0" xfId="0" applyNumberFormat="1" applyFont="1" applyFill="1" applyAlignment="1">
      <alignment horizontal="left" vertical="top" wrapText="1"/>
    </xf>
    <xf numFmtId="1" fontId="8" fillId="0" borderId="0" xfId="0" applyNumberFormat="1" applyFont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49" fontId="6" fillId="11" borderId="3" xfId="0" applyNumberFormat="1" applyFont="1" applyFill="1" applyBorder="1" applyAlignment="1">
      <alignment horizontal="left" vertical="top" wrapText="1"/>
    </xf>
    <xf numFmtId="0" fontId="8" fillId="0" borderId="9" xfId="2" applyFont="1" applyBorder="1" applyAlignment="1">
      <alignment horizontal="center" vertical="center"/>
    </xf>
    <xf numFmtId="0" fontId="8" fillId="2" borderId="53" xfId="0" applyFont="1" applyFill="1" applyBorder="1" applyAlignment="1">
      <alignment horizontal="left" vertical="top" wrapText="1"/>
    </xf>
    <xf numFmtId="0" fontId="8" fillId="0" borderId="56" xfId="0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top"/>
    </xf>
    <xf numFmtId="0" fontId="8" fillId="0" borderId="54" xfId="0" applyFont="1" applyBorder="1" applyAlignment="1">
      <alignment horizontal="left" vertical="top"/>
    </xf>
    <xf numFmtId="0" fontId="8" fillId="0" borderId="25" xfId="0" applyFont="1" applyBorder="1" applyAlignment="1">
      <alignment horizontal="left" vertical="top" wrapText="1"/>
    </xf>
    <xf numFmtId="0" fontId="6" fillId="2" borderId="25" xfId="0" applyFont="1" applyFill="1" applyBorder="1" applyAlignment="1">
      <alignment horizontal="left" vertical="top" wrapText="1"/>
    </xf>
    <xf numFmtId="14" fontId="8" fillId="2" borderId="25" xfId="0" applyNumberFormat="1" applyFont="1" applyFill="1" applyBorder="1" applyAlignment="1">
      <alignment horizontal="left" vertical="top" wrapText="1"/>
    </xf>
    <xf numFmtId="1" fontId="8" fillId="0" borderId="25" xfId="0" applyNumberFormat="1" applyFont="1" applyBorder="1" applyAlignment="1">
      <alignment horizontal="left" vertical="top" wrapText="1"/>
    </xf>
    <xf numFmtId="0" fontId="8" fillId="0" borderId="27" xfId="2" applyFont="1" applyBorder="1" applyAlignment="1">
      <alignment horizontal="left" vertical="top"/>
    </xf>
    <xf numFmtId="0" fontId="8" fillId="2" borderId="22" xfId="0" applyFont="1" applyFill="1" applyBorder="1" applyAlignment="1">
      <alignment horizontal="left" vertical="top" wrapText="1"/>
    </xf>
    <xf numFmtId="0" fontId="8" fillId="0" borderId="60" xfId="2" applyFont="1" applyBorder="1" applyAlignment="1">
      <alignment horizontal="left" vertical="top"/>
    </xf>
    <xf numFmtId="0" fontId="8" fillId="2" borderId="23" xfId="0" applyFont="1" applyFill="1" applyBorder="1" applyAlignment="1">
      <alignment horizontal="left" vertical="top" wrapText="1"/>
    </xf>
    <xf numFmtId="0" fontId="8" fillId="0" borderId="34" xfId="0" applyFont="1" applyBorder="1" applyAlignment="1">
      <alignment horizontal="left" vertical="top"/>
    </xf>
    <xf numFmtId="0" fontId="8" fillId="0" borderId="34" xfId="0" applyFont="1" applyBorder="1" applyAlignment="1">
      <alignment horizontal="left" vertical="top" wrapText="1"/>
    </xf>
    <xf numFmtId="0" fontId="6" fillId="2" borderId="34" xfId="0" applyFont="1" applyFill="1" applyBorder="1" applyAlignment="1">
      <alignment horizontal="left" vertical="top" wrapText="1"/>
    </xf>
    <xf numFmtId="14" fontId="8" fillId="2" borderId="34" xfId="0" applyNumberFormat="1" applyFont="1" applyFill="1" applyBorder="1" applyAlignment="1">
      <alignment horizontal="left" vertical="top" wrapText="1"/>
    </xf>
    <xf numFmtId="1" fontId="8" fillId="0" borderId="34" xfId="0" applyNumberFormat="1" applyFont="1" applyBorder="1" applyAlignment="1">
      <alignment horizontal="left" vertical="top" wrapText="1"/>
    </xf>
    <xf numFmtId="0" fontId="8" fillId="0" borderId="39" xfId="2" applyFont="1" applyBorder="1" applyAlignment="1">
      <alignment horizontal="left" vertical="top"/>
    </xf>
    <xf numFmtId="0" fontId="8" fillId="2" borderId="53" xfId="0" applyFont="1" applyFill="1" applyBorder="1" applyAlignment="1">
      <alignment horizontal="left" vertical="top"/>
    </xf>
    <xf numFmtId="14" fontId="8" fillId="2" borderId="25" xfId="0" applyNumberFormat="1" applyFont="1" applyFill="1" applyBorder="1" applyAlignment="1">
      <alignment horizontal="left" vertical="top"/>
    </xf>
    <xf numFmtId="1" fontId="8" fillId="0" borderId="25" xfId="0" applyNumberFormat="1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2" borderId="22" xfId="0" applyFont="1" applyFill="1" applyBorder="1" applyAlignment="1">
      <alignment horizontal="left" vertical="top"/>
    </xf>
    <xf numFmtId="0" fontId="8" fillId="0" borderId="60" xfId="0" applyFont="1" applyBorder="1" applyAlignment="1">
      <alignment horizontal="left" vertical="top"/>
    </xf>
    <xf numFmtId="0" fontId="8" fillId="2" borderId="23" xfId="0" applyFont="1" applyFill="1" applyBorder="1" applyAlignment="1">
      <alignment horizontal="left" vertical="top"/>
    </xf>
    <xf numFmtId="14" fontId="8" fillId="2" borderId="34" xfId="0" applyNumberFormat="1" applyFont="1" applyFill="1" applyBorder="1" applyAlignment="1">
      <alignment horizontal="left" vertical="top"/>
    </xf>
    <xf numFmtId="1" fontId="8" fillId="0" borderId="34" xfId="0" applyNumberFormat="1" applyFont="1" applyBorder="1" applyAlignment="1">
      <alignment horizontal="left" vertical="top"/>
    </xf>
    <xf numFmtId="0" fontId="8" fillId="0" borderId="39" xfId="0" applyFont="1" applyBorder="1" applyAlignment="1">
      <alignment horizontal="left" vertical="top"/>
    </xf>
    <xf numFmtId="0" fontId="6" fillId="11" borderId="3" xfId="0" applyFont="1" applyFill="1" applyBorder="1" applyAlignment="1">
      <alignment horizontal="left" vertical="top"/>
    </xf>
    <xf numFmtId="0" fontId="8" fillId="2" borderId="61" xfId="0" applyFont="1" applyFill="1" applyBorder="1" applyAlignment="1">
      <alignment horizontal="left" vertical="top"/>
    </xf>
    <xf numFmtId="0" fontId="6" fillId="0" borderId="33" xfId="0" applyFont="1" applyBorder="1" applyAlignment="1">
      <alignment horizontal="left" vertical="center"/>
    </xf>
    <xf numFmtId="0" fontId="8" fillId="0" borderId="33" xfId="0" applyFont="1" applyBorder="1" applyAlignment="1">
      <alignment horizontal="center" vertical="center"/>
    </xf>
    <xf numFmtId="0" fontId="8" fillId="0" borderId="33" xfId="0" applyFont="1" applyBorder="1" applyAlignment="1">
      <alignment horizontal="left" vertical="top"/>
    </xf>
    <xf numFmtId="0" fontId="6" fillId="2" borderId="33" xfId="0" applyFont="1" applyFill="1" applyBorder="1" applyAlignment="1">
      <alignment horizontal="left" vertical="top" wrapText="1"/>
    </xf>
    <xf numFmtId="14" fontId="8" fillId="2" borderId="33" xfId="0" applyNumberFormat="1" applyFont="1" applyFill="1" applyBorder="1" applyAlignment="1">
      <alignment horizontal="left" vertical="top"/>
    </xf>
    <xf numFmtId="1" fontId="8" fillId="0" borderId="33" xfId="0" applyNumberFormat="1" applyFont="1" applyBorder="1" applyAlignment="1">
      <alignment horizontal="left" vertical="top"/>
    </xf>
    <xf numFmtId="0" fontId="8" fillId="0" borderId="62" xfId="2" applyFont="1" applyBorder="1" applyAlignment="1">
      <alignment horizontal="left" vertical="top"/>
    </xf>
    <xf numFmtId="0" fontId="6" fillId="0" borderId="11" xfId="0" applyFont="1" applyBorder="1" applyAlignment="1">
      <alignment horizontal="left" vertical="top" wrapText="1"/>
    </xf>
    <xf numFmtId="0" fontId="11" fillId="2" borderId="0" xfId="0" applyFont="1" applyFill="1" applyAlignment="1">
      <alignment horizontal="left" vertical="top"/>
    </xf>
    <xf numFmtId="0" fontId="6" fillId="11" borderId="6" xfId="0" applyFont="1" applyFill="1" applyBorder="1" applyAlignment="1">
      <alignment horizontal="left" vertical="top" wrapText="1"/>
    </xf>
    <xf numFmtId="0" fontId="11" fillId="2" borderId="44" xfId="0" applyFont="1" applyFill="1" applyBorder="1" applyAlignment="1">
      <alignment horizontal="left" vertical="top"/>
    </xf>
    <xf numFmtId="0" fontId="8" fillId="0" borderId="49" xfId="0" applyFont="1" applyBorder="1" applyAlignment="1">
      <alignment horizontal="center" vertical="top"/>
    </xf>
    <xf numFmtId="0" fontId="8" fillId="0" borderId="49" xfId="0" applyFont="1" applyBorder="1" applyAlignment="1">
      <alignment horizontal="left" vertical="top"/>
    </xf>
    <xf numFmtId="0" fontId="6" fillId="2" borderId="49" xfId="0" applyFont="1" applyFill="1" applyBorder="1" applyAlignment="1">
      <alignment horizontal="left" vertical="top" wrapText="1"/>
    </xf>
    <xf numFmtId="14" fontId="8" fillId="2" borderId="49" xfId="0" applyNumberFormat="1" applyFont="1" applyFill="1" applyBorder="1" applyAlignment="1">
      <alignment horizontal="left" vertical="top"/>
    </xf>
    <xf numFmtId="1" fontId="8" fillId="0" borderId="49" xfId="0" applyNumberFormat="1" applyFont="1" applyBorder="1" applyAlignment="1">
      <alignment horizontal="left" vertical="top"/>
    </xf>
    <xf numFmtId="0" fontId="8" fillId="0" borderId="52" xfId="2" applyFont="1" applyBorder="1" applyAlignment="1">
      <alignment horizontal="left" vertical="top"/>
    </xf>
    <xf numFmtId="0" fontId="6" fillId="11" borderId="10" xfId="0" applyFont="1" applyFill="1" applyBorder="1" applyAlignment="1">
      <alignment horizontal="left" vertical="top" wrapText="1"/>
    </xf>
    <xf numFmtId="0" fontId="6" fillId="11" borderId="3" xfId="0" applyFont="1" applyFill="1" applyBorder="1" applyAlignment="1">
      <alignment horizontal="left" vertical="top" wrapText="1"/>
    </xf>
    <xf numFmtId="0" fontId="11" fillId="2" borderId="24" xfId="0" applyFont="1" applyFill="1" applyBorder="1" applyAlignment="1">
      <alignment horizontal="left" vertical="top" wrapText="1"/>
    </xf>
    <xf numFmtId="0" fontId="8" fillId="0" borderId="27" xfId="0" applyFont="1" applyBorder="1" applyAlignment="1">
      <alignment horizontal="left" vertical="top" wrapText="1"/>
    </xf>
    <xf numFmtId="0" fontId="11" fillId="2" borderId="22" xfId="0" applyFont="1" applyFill="1" applyBorder="1" applyAlignment="1">
      <alignment horizontal="left" vertical="top" wrapText="1"/>
    </xf>
    <xf numFmtId="0" fontId="8" fillId="0" borderId="29" xfId="0" applyFont="1" applyBorder="1" applyAlignment="1">
      <alignment horizontal="left" vertical="top" wrapText="1"/>
    </xf>
    <xf numFmtId="0" fontId="11" fillId="2" borderId="23" xfId="0" applyFont="1" applyFill="1" applyBorder="1" applyAlignment="1">
      <alignment horizontal="left" vertical="top" wrapText="1"/>
    </xf>
    <xf numFmtId="14" fontId="8" fillId="2" borderId="33" xfId="0" applyNumberFormat="1" applyFont="1" applyFill="1" applyBorder="1" applyAlignment="1">
      <alignment horizontal="left" vertical="top" wrapText="1"/>
    </xf>
    <xf numFmtId="1" fontId="8" fillId="0" borderId="33" xfId="0" applyNumberFormat="1" applyFont="1" applyBorder="1" applyAlignment="1">
      <alignment horizontal="left" vertical="top" wrapText="1"/>
    </xf>
    <xf numFmtId="0" fontId="8" fillId="0" borderId="62" xfId="0" applyFont="1" applyBorder="1" applyAlignment="1">
      <alignment horizontal="left" vertical="top" wrapText="1"/>
    </xf>
    <xf numFmtId="0" fontId="11" fillId="2" borderId="53" xfId="0" applyFont="1" applyFill="1" applyBorder="1" applyAlignment="1">
      <alignment horizontal="left" vertical="top" wrapText="1"/>
    </xf>
    <xf numFmtId="0" fontId="6" fillId="2" borderId="25" xfId="0" applyFont="1" applyFill="1" applyBorder="1" applyAlignment="1">
      <alignment horizontal="left" vertical="top"/>
    </xf>
    <xf numFmtId="0" fontId="6" fillId="2" borderId="34" xfId="0" applyFont="1" applyFill="1" applyBorder="1" applyAlignment="1">
      <alignment horizontal="left" vertical="top"/>
    </xf>
    <xf numFmtId="0" fontId="8" fillId="0" borderId="34" xfId="0" applyFont="1" applyBorder="1" applyAlignment="1">
      <alignment horizontal="center" vertical="top"/>
    </xf>
    <xf numFmtId="0" fontId="8" fillId="0" borderId="32" xfId="0" applyFont="1" applyBorder="1" applyAlignment="1">
      <alignment horizontal="left" vertical="top"/>
    </xf>
    <xf numFmtId="0" fontId="8" fillId="0" borderId="57" xfId="0" applyFont="1" applyBorder="1" applyAlignment="1">
      <alignment horizontal="left" vertical="top"/>
    </xf>
    <xf numFmtId="0" fontId="6" fillId="2" borderId="32" xfId="0" applyFont="1" applyFill="1" applyBorder="1" applyAlignment="1">
      <alignment horizontal="left" vertical="top"/>
    </xf>
    <xf numFmtId="14" fontId="8" fillId="2" borderId="32" xfId="0" applyNumberFormat="1" applyFont="1" applyFill="1" applyBorder="1" applyAlignment="1">
      <alignment horizontal="left" vertical="top" wrapText="1"/>
    </xf>
    <xf numFmtId="1" fontId="8" fillId="0" borderId="32" xfId="0" applyNumberFormat="1" applyFont="1" applyBorder="1" applyAlignment="1">
      <alignment horizontal="left" vertical="top" wrapText="1"/>
    </xf>
    <xf numFmtId="0" fontId="8" fillId="0" borderId="35" xfId="0" applyFont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/>
    </xf>
    <xf numFmtId="0" fontId="6" fillId="11" borderId="15" xfId="0" applyFont="1" applyFill="1" applyBorder="1" applyAlignment="1">
      <alignment horizontal="left" vertical="top"/>
    </xf>
    <xf numFmtId="0" fontId="8" fillId="0" borderId="36" xfId="0" applyFont="1" applyBorder="1" applyAlignment="1">
      <alignment horizontal="left" vertical="top"/>
    </xf>
    <xf numFmtId="0" fontId="8" fillId="0" borderId="63" xfId="0" applyFont="1" applyBorder="1" applyAlignment="1">
      <alignment horizontal="left" vertical="top"/>
    </xf>
    <xf numFmtId="0" fontId="8" fillId="0" borderId="36" xfId="0" applyFont="1" applyBorder="1" applyAlignment="1">
      <alignment horizontal="left" vertical="top" wrapText="1"/>
    </xf>
    <xf numFmtId="0" fontId="6" fillId="0" borderId="36" xfId="0" applyFont="1" applyBorder="1" applyAlignment="1">
      <alignment horizontal="left" vertical="top"/>
    </xf>
    <xf numFmtId="14" fontId="8" fillId="2" borderId="36" xfId="0" applyNumberFormat="1" applyFont="1" applyFill="1" applyBorder="1" applyAlignment="1">
      <alignment horizontal="left" vertical="top"/>
    </xf>
    <xf numFmtId="1" fontId="8" fillId="0" borderId="36" xfId="0" applyNumberFormat="1" applyFont="1" applyBorder="1" applyAlignment="1">
      <alignment horizontal="left" vertical="top"/>
    </xf>
    <xf numFmtId="0" fontId="8" fillId="0" borderId="64" xfId="0" applyFont="1" applyBorder="1" applyAlignment="1">
      <alignment horizontal="left" vertical="top"/>
    </xf>
    <xf numFmtId="0" fontId="6" fillId="0" borderId="34" xfId="0" applyFont="1" applyBorder="1" applyAlignment="1">
      <alignment horizontal="left" vertical="top"/>
    </xf>
    <xf numFmtId="0" fontId="8" fillId="0" borderId="0" xfId="0" applyFont="1" applyAlignment="1">
      <alignment wrapText="1"/>
    </xf>
    <xf numFmtId="0" fontId="8" fillId="0" borderId="25" xfId="0" applyFont="1" applyBorder="1" applyAlignment="1">
      <alignment wrapText="1"/>
    </xf>
    <xf numFmtId="0" fontId="8" fillId="0" borderId="27" xfId="0" applyFont="1" applyBorder="1" applyAlignment="1">
      <alignment horizontal="center" vertical="center"/>
    </xf>
    <xf numFmtId="0" fontId="11" fillId="2" borderId="21" xfId="0" applyFont="1" applyFill="1" applyBorder="1" applyAlignment="1">
      <alignment horizontal="left" vertical="top" wrapText="1"/>
    </xf>
    <xf numFmtId="0" fontId="8" fillId="0" borderId="29" xfId="0" applyFont="1" applyBorder="1" applyAlignment="1">
      <alignment horizontal="center" vertical="center"/>
    </xf>
    <xf numFmtId="0" fontId="8" fillId="0" borderId="33" xfId="0" applyFont="1" applyBorder="1"/>
    <xf numFmtId="0" fontId="8" fillId="0" borderId="33" xfId="0" applyFont="1" applyBorder="1" applyAlignment="1">
      <alignment wrapText="1"/>
    </xf>
    <xf numFmtId="14" fontId="8" fillId="2" borderId="33" xfId="0" applyNumberFormat="1" applyFont="1" applyFill="1" applyBorder="1" applyAlignment="1">
      <alignment horizontal="left" vertical="center"/>
    </xf>
    <xf numFmtId="0" fontId="8" fillId="0" borderId="62" xfId="0" applyFont="1" applyBorder="1" applyAlignment="1">
      <alignment horizontal="center" vertical="center"/>
    </xf>
    <xf numFmtId="14" fontId="6" fillId="2" borderId="25" xfId="0" applyNumberFormat="1" applyFont="1" applyFill="1" applyBorder="1" applyAlignment="1">
      <alignment horizontal="left" vertical="center"/>
    </xf>
    <xf numFmtId="0" fontId="8" fillId="0" borderId="32" xfId="0" applyFont="1" applyBorder="1" applyAlignment="1">
      <alignment wrapText="1"/>
    </xf>
    <xf numFmtId="0" fontId="8" fillId="0" borderId="35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top"/>
    </xf>
    <xf numFmtId="0" fontId="8" fillId="0" borderId="5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top"/>
    </xf>
    <xf numFmtId="0" fontId="8" fillId="0" borderId="65" xfId="0" applyFont="1" applyBorder="1" applyAlignment="1">
      <alignment horizontal="left" vertical="top"/>
    </xf>
    <xf numFmtId="0" fontId="8" fillId="0" borderId="43" xfId="0" applyFont="1" applyBorder="1" applyAlignment="1">
      <alignment wrapText="1"/>
    </xf>
    <xf numFmtId="0" fontId="6" fillId="0" borderId="43" xfId="0" applyFont="1" applyBorder="1" applyAlignment="1">
      <alignment horizontal="left" vertical="center"/>
    </xf>
    <xf numFmtId="14" fontId="8" fillId="2" borderId="43" xfId="0" applyNumberFormat="1" applyFont="1" applyFill="1" applyBorder="1" applyAlignment="1">
      <alignment horizontal="left" vertical="center"/>
    </xf>
    <xf numFmtId="1" fontId="8" fillId="0" borderId="43" xfId="0" applyNumberFormat="1" applyFont="1" applyBorder="1" applyAlignment="1">
      <alignment horizontal="left" vertical="center"/>
    </xf>
    <xf numFmtId="0" fontId="8" fillId="0" borderId="66" xfId="0" applyFont="1" applyBorder="1" applyAlignment="1">
      <alignment horizontal="center" vertical="center"/>
    </xf>
    <xf numFmtId="0" fontId="8" fillId="2" borderId="20" xfId="0" applyFont="1" applyFill="1" applyBorder="1" applyAlignment="1">
      <alignment horizontal="left" vertical="center"/>
    </xf>
    <xf numFmtId="0" fontId="8" fillId="0" borderId="54" xfId="0" applyFont="1" applyBorder="1" applyAlignment="1">
      <alignment horizontal="left"/>
    </xf>
    <xf numFmtId="0" fontId="14" fillId="0" borderId="25" xfId="0" applyFont="1" applyBorder="1" applyAlignment="1">
      <alignment horizontal="left"/>
    </xf>
    <xf numFmtId="0" fontId="14" fillId="0" borderId="57" xfId="0" applyFont="1" applyBorder="1" applyAlignment="1">
      <alignment horizontal="left"/>
    </xf>
    <xf numFmtId="0" fontId="14" fillId="0" borderId="32" xfId="0" applyFont="1" applyBorder="1" applyAlignment="1">
      <alignment horizontal="left"/>
    </xf>
    <xf numFmtId="0" fontId="8" fillId="0" borderId="25" xfId="0" quotePrefix="1" applyFont="1" applyBorder="1" applyAlignment="1">
      <alignment horizontal="center"/>
    </xf>
    <xf numFmtId="0" fontId="6" fillId="2" borderId="57" xfId="0" applyFont="1" applyFill="1" applyBorder="1" applyAlignment="1">
      <alignment horizontal="left" vertical="center"/>
    </xf>
    <xf numFmtId="0" fontId="6" fillId="0" borderId="25" xfId="0" applyFont="1" applyBorder="1" applyAlignment="1">
      <alignment horizontal="center" vertical="center"/>
    </xf>
    <xf numFmtId="1" fontId="8" fillId="2" borderId="25" xfId="0" applyNumberFormat="1" applyFont="1" applyFill="1" applyBorder="1" applyAlignment="1">
      <alignment horizontal="left" vertical="center"/>
    </xf>
    <xf numFmtId="0" fontId="8" fillId="2" borderId="53" xfId="0" applyFont="1" applyFill="1" applyBorder="1" applyAlignment="1">
      <alignment horizontal="left" vertical="center" wrapText="1"/>
    </xf>
    <xf numFmtId="0" fontId="8" fillId="2" borderId="55" xfId="0" applyFont="1" applyFill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/>
    </xf>
    <xf numFmtId="0" fontId="8" fillId="2" borderId="20" xfId="0" applyFont="1" applyFill="1" applyBorder="1" applyAlignment="1">
      <alignment horizontal="left" vertical="center" wrapText="1"/>
    </xf>
    <xf numFmtId="0" fontId="6" fillId="0" borderId="25" xfId="0" applyFont="1" applyBorder="1" applyAlignment="1">
      <alignment horizontal="left"/>
    </xf>
    <xf numFmtId="0" fontId="8" fillId="2" borderId="25" xfId="0" applyFont="1" applyFill="1" applyBorder="1" applyAlignment="1">
      <alignment horizontal="left"/>
    </xf>
    <xf numFmtId="0" fontId="8" fillId="2" borderId="21" xfId="0" applyFont="1" applyFill="1" applyBorder="1" applyAlignment="1">
      <alignment horizontal="left" vertical="center" wrapText="1"/>
    </xf>
    <xf numFmtId="0" fontId="8" fillId="0" borderId="32" xfId="0" applyFont="1" applyBorder="1" applyAlignment="1">
      <alignment horizontal="left" wrapText="1"/>
    </xf>
    <xf numFmtId="0" fontId="8" fillId="2" borderId="61" xfId="0" applyFont="1" applyFill="1" applyBorder="1" applyAlignment="1">
      <alignment horizontal="left" vertical="center"/>
    </xf>
    <xf numFmtId="0" fontId="6" fillId="2" borderId="33" xfId="0" applyFont="1" applyFill="1" applyBorder="1" applyAlignment="1">
      <alignment horizontal="left" vertical="center"/>
    </xf>
    <xf numFmtId="0" fontId="8" fillId="2" borderId="32" xfId="0" applyFont="1" applyFill="1" applyBorder="1" applyAlignment="1">
      <alignment horizontal="center" vertical="center"/>
    </xf>
    <xf numFmtId="0" fontId="8" fillId="0" borderId="60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8" fillId="0" borderId="34" xfId="0" applyFont="1" applyBorder="1" applyAlignment="1">
      <alignment horizontal="left"/>
    </xf>
    <xf numFmtId="14" fontId="8" fillId="2" borderId="34" xfId="0" applyNumberFormat="1" applyFont="1" applyFill="1" applyBorder="1" applyAlignment="1">
      <alignment horizontal="left" vertical="center" wrapText="1"/>
    </xf>
    <xf numFmtId="1" fontId="8" fillId="0" borderId="34" xfId="0" applyNumberFormat="1" applyFont="1" applyBorder="1" applyAlignment="1">
      <alignment horizontal="left" vertical="center" wrapText="1"/>
    </xf>
    <xf numFmtId="0" fontId="8" fillId="2" borderId="42" xfId="0" applyFont="1" applyFill="1" applyBorder="1" applyAlignment="1">
      <alignment horizontal="left" vertical="center" wrapText="1"/>
    </xf>
    <xf numFmtId="0" fontId="8" fillId="2" borderId="61" xfId="0" applyFont="1" applyFill="1" applyBorder="1" applyAlignment="1">
      <alignment horizontal="left" vertical="center" wrapText="1"/>
    </xf>
    <xf numFmtId="0" fontId="8" fillId="0" borderId="46" xfId="0" applyFont="1" applyBorder="1" applyAlignment="1">
      <alignment horizontal="left"/>
    </xf>
    <xf numFmtId="0" fontId="8" fillId="0" borderId="26" xfId="0" applyFont="1" applyBorder="1" applyAlignment="1">
      <alignment horizontal="left"/>
    </xf>
    <xf numFmtId="0" fontId="8" fillId="0" borderId="26" xfId="0" applyFont="1" applyBorder="1" applyAlignment="1">
      <alignment horizontal="left" wrapText="1"/>
    </xf>
    <xf numFmtId="0" fontId="8" fillId="0" borderId="26" xfId="0" applyFont="1" applyBorder="1" applyAlignment="1">
      <alignment horizontal="left" vertical="center"/>
    </xf>
    <xf numFmtId="14" fontId="8" fillId="2" borderId="26" xfId="0" applyNumberFormat="1" applyFont="1" applyFill="1" applyBorder="1" applyAlignment="1">
      <alignment horizontal="left" vertical="center" wrapText="1"/>
    </xf>
    <xf numFmtId="1" fontId="8" fillId="0" borderId="26" xfId="0" applyNumberFormat="1" applyFont="1" applyBorder="1" applyAlignment="1">
      <alignment horizontal="left" vertical="center" wrapText="1"/>
    </xf>
    <xf numFmtId="0" fontId="8" fillId="0" borderId="68" xfId="0" applyFont="1" applyBorder="1" applyAlignment="1">
      <alignment horizontal="left" vertical="center"/>
    </xf>
    <xf numFmtId="0" fontId="8" fillId="0" borderId="59" xfId="0" applyFont="1" applyBorder="1" applyAlignment="1">
      <alignment horizontal="left" vertical="center"/>
    </xf>
    <xf numFmtId="0" fontId="0" fillId="0" borderId="29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2" borderId="34" xfId="0" applyFill="1" applyBorder="1" applyAlignment="1">
      <alignment horizontal="left"/>
    </xf>
    <xf numFmtId="0" fontId="0" fillId="0" borderId="39" xfId="0" applyBorder="1" applyAlignment="1">
      <alignment horizontal="left"/>
    </xf>
    <xf numFmtId="0" fontId="8" fillId="2" borderId="42" xfId="0" applyFont="1" applyFill="1" applyBorder="1" applyAlignment="1">
      <alignment horizontal="left" vertical="center"/>
    </xf>
    <xf numFmtId="14" fontId="6" fillId="2" borderId="25" xfId="0" applyNumberFormat="1" applyFont="1" applyFill="1" applyBorder="1" applyAlignment="1">
      <alignment horizontal="left" vertical="center" wrapText="1"/>
    </xf>
    <xf numFmtId="0" fontId="0" fillId="0" borderId="41" xfId="0" applyBorder="1" applyAlignment="1">
      <alignment horizontal="left"/>
    </xf>
    <xf numFmtId="0" fontId="0" fillId="0" borderId="60" xfId="0" applyBorder="1" applyAlignment="1">
      <alignment horizontal="left"/>
    </xf>
    <xf numFmtId="0" fontId="0" fillId="0" borderId="57" xfId="0" applyBorder="1" applyAlignment="1">
      <alignment horizontal="left"/>
    </xf>
    <xf numFmtId="0" fontId="8" fillId="0" borderId="0" xfId="0" applyFont="1" applyAlignment="1">
      <alignment vertical="top" wrapText="1"/>
    </xf>
    <xf numFmtId="0" fontId="8" fillId="0" borderId="35" xfId="0" applyFont="1" applyBorder="1" applyAlignment="1">
      <alignment horizontal="left" vertical="center" wrapText="1"/>
    </xf>
    <xf numFmtId="0" fontId="8" fillId="3" borderId="53" xfId="0" applyFont="1" applyFill="1" applyBorder="1" applyAlignment="1">
      <alignment horizontal="left" vertical="center"/>
    </xf>
    <xf numFmtId="0" fontId="8" fillId="0" borderId="34" xfId="0" applyFont="1" applyBorder="1" applyAlignment="1">
      <alignment horizontal="left" wrapText="1"/>
    </xf>
    <xf numFmtId="0" fontId="8" fillId="0" borderId="34" xfId="0" applyFont="1" applyBorder="1" applyAlignment="1">
      <alignment horizontal="left" vertical="center" wrapText="1"/>
    </xf>
    <xf numFmtId="0" fontId="8" fillId="0" borderId="39" xfId="0" applyFont="1" applyBorder="1" applyAlignment="1">
      <alignment horizontal="left" vertical="center" wrapText="1"/>
    </xf>
    <xf numFmtId="0" fontId="8" fillId="2" borderId="56" xfId="0" applyFont="1" applyFill="1" applyBorder="1" applyAlignment="1">
      <alignment horizontal="left" vertical="center"/>
    </xf>
    <xf numFmtId="0" fontId="14" fillId="2" borderId="45" xfId="0" applyFont="1" applyFill="1" applyBorder="1" applyAlignment="1">
      <alignment horizontal="left" vertical="center"/>
    </xf>
    <xf numFmtId="14" fontId="8" fillId="2" borderId="45" xfId="0" applyNumberFormat="1" applyFont="1" applyFill="1" applyBorder="1" applyAlignment="1">
      <alignment horizontal="left" vertical="center" wrapText="1"/>
    </xf>
    <xf numFmtId="1" fontId="8" fillId="2" borderId="25" xfId="0" applyNumberFormat="1" applyFont="1" applyFill="1" applyBorder="1" applyAlignment="1">
      <alignment horizontal="left" vertical="center" wrapText="1"/>
    </xf>
    <xf numFmtId="0" fontId="8" fillId="2" borderId="27" xfId="0" applyFont="1" applyFill="1" applyBorder="1" applyAlignment="1">
      <alignment horizontal="left" vertical="center" wrapText="1"/>
    </xf>
    <xf numFmtId="0" fontId="8" fillId="0" borderId="61" xfId="0" applyFont="1" applyBorder="1" applyAlignment="1">
      <alignment horizontal="left" vertical="center" wrapText="1"/>
    </xf>
    <xf numFmtId="0" fontId="8" fillId="0" borderId="47" xfId="0" applyFont="1" applyBorder="1" applyAlignment="1">
      <alignment horizontal="left"/>
    </xf>
    <xf numFmtId="0" fontId="14" fillId="0" borderId="34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 wrapText="1"/>
    </xf>
    <xf numFmtId="0" fontId="8" fillId="0" borderId="42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0" fillId="0" borderId="38" xfId="0" applyBorder="1" applyAlignment="1">
      <alignment horizontal="left"/>
    </xf>
    <xf numFmtId="0" fontId="8" fillId="0" borderId="23" xfId="0" applyFont="1" applyBorder="1" applyAlignment="1">
      <alignment horizontal="left" vertical="center" wrapText="1"/>
    </xf>
    <xf numFmtId="0" fontId="8" fillId="2" borderId="25" xfId="0" applyFont="1" applyFill="1" applyBorder="1" applyAlignment="1">
      <alignment horizontal="left" vertical="center"/>
    </xf>
    <xf numFmtId="0" fontId="0" fillId="0" borderId="25" xfId="0" applyBorder="1" applyAlignment="1">
      <alignment horizontal="left"/>
    </xf>
    <xf numFmtId="14" fontId="0" fillId="2" borderId="25" xfId="0" applyNumberFormat="1" applyFill="1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43" xfId="0" applyBorder="1" applyAlignment="1">
      <alignment horizontal="left"/>
    </xf>
    <xf numFmtId="14" fontId="0" fillId="2" borderId="43" xfId="0" applyNumberFormat="1" applyFill="1" applyBorder="1" applyAlignment="1">
      <alignment horizontal="left"/>
    </xf>
    <xf numFmtId="0" fontId="0" fillId="0" borderId="66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2" borderId="25" xfId="0" applyFill="1" applyBorder="1" applyAlignment="1">
      <alignment horizontal="left"/>
    </xf>
    <xf numFmtId="14" fontId="0" fillId="2" borderId="36" xfId="0" applyNumberFormat="1" applyFill="1" applyBorder="1" applyAlignment="1">
      <alignment horizontal="left"/>
    </xf>
    <xf numFmtId="0" fontId="0" fillId="0" borderId="64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2" borderId="33" xfId="0" applyFill="1" applyBorder="1" applyAlignment="1">
      <alignment horizontal="left"/>
    </xf>
    <xf numFmtId="0" fontId="0" fillId="0" borderId="62" xfId="0" applyBorder="1" applyAlignment="1">
      <alignment horizontal="left"/>
    </xf>
    <xf numFmtId="0" fontId="0" fillId="2" borderId="32" xfId="0" applyFill="1" applyBorder="1" applyAlignment="1">
      <alignment horizontal="left"/>
    </xf>
    <xf numFmtId="0" fontId="8" fillId="0" borderId="18" xfId="0" applyFont="1" applyBorder="1" applyAlignment="1">
      <alignment horizontal="left" vertical="center" wrapText="1"/>
    </xf>
    <xf numFmtId="0" fontId="6" fillId="2" borderId="19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left"/>
    </xf>
    <xf numFmtId="0" fontId="8" fillId="0" borderId="33" xfId="0" applyFont="1" applyBorder="1" applyAlignment="1">
      <alignment horizontal="left"/>
    </xf>
    <xf numFmtId="0" fontId="8" fillId="0" borderId="33" xfId="0" applyFont="1" applyBorder="1" applyAlignment="1">
      <alignment horizontal="left" wrapText="1"/>
    </xf>
    <xf numFmtId="0" fontId="8" fillId="0" borderId="33" xfId="0" applyFont="1" applyBorder="1" applyAlignment="1">
      <alignment horizontal="left" vertical="center" wrapText="1"/>
    </xf>
    <xf numFmtId="14" fontId="8" fillId="2" borderId="33" xfId="0" applyNumberFormat="1" applyFont="1" applyFill="1" applyBorder="1" applyAlignment="1">
      <alignment horizontal="left" vertical="center" wrapText="1"/>
    </xf>
    <xf numFmtId="1" fontId="8" fillId="0" borderId="33" xfId="0" applyNumberFormat="1" applyFont="1" applyBorder="1" applyAlignment="1">
      <alignment horizontal="left" vertical="center" wrapText="1"/>
    </xf>
    <xf numFmtId="0" fontId="8" fillId="0" borderId="62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left" vertical="top" wrapText="1"/>
    </xf>
    <xf numFmtId="0" fontId="11" fillId="0" borderId="27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0" fillId="2" borderId="29" xfId="0" applyFill="1" applyBorder="1" applyAlignment="1">
      <alignment horizontal="left"/>
    </xf>
    <xf numFmtId="0" fontId="18" fillId="0" borderId="29" xfId="0" applyFont="1" applyBorder="1" applyAlignment="1">
      <alignment horizontal="left" vertical="center" wrapText="1"/>
    </xf>
    <xf numFmtId="0" fontId="8" fillId="0" borderId="55" xfId="0" applyFont="1" applyBorder="1" applyAlignment="1">
      <alignment horizontal="left" vertical="center" wrapText="1"/>
    </xf>
    <xf numFmtId="164" fontId="6" fillId="0" borderId="25" xfId="0" applyNumberFormat="1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wrapText="1"/>
    </xf>
    <xf numFmtId="0" fontId="6" fillId="0" borderId="25" xfId="0" applyFont="1" applyBorder="1" applyAlignment="1">
      <alignment horizontal="left" vertical="center" wrapText="1"/>
    </xf>
    <xf numFmtId="1" fontId="6" fillId="0" borderId="25" xfId="0" applyNumberFormat="1" applyFont="1" applyBorder="1" applyAlignment="1">
      <alignment horizontal="left" vertical="center" wrapText="1"/>
    </xf>
    <xf numFmtId="0" fontId="8" fillId="0" borderId="67" xfId="0" applyFont="1" applyBorder="1" applyAlignment="1">
      <alignment horizontal="left" vertical="center" wrapText="1"/>
    </xf>
    <xf numFmtId="14" fontId="8" fillId="2" borderId="36" xfId="0" applyNumberFormat="1" applyFont="1" applyFill="1" applyBorder="1" applyAlignment="1">
      <alignment horizontal="left" vertical="center" wrapText="1"/>
    </xf>
    <xf numFmtId="1" fontId="8" fillId="0" borderId="36" xfId="0" applyNumberFormat="1" applyFont="1" applyBorder="1" applyAlignment="1">
      <alignment horizontal="left" vertical="center" wrapText="1"/>
    </xf>
    <xf numFmtId="0" fontId="0" fillId="0" borderId="59" xfId="0" applyBorder="1" applyAlignment="1">
      <alignment horizontal="left"/>
    </xf>
    <xf numFmtId="0" fontId="8" fillId="0" borderId="47" xfId="0" applyFont="1" applyBorder="1" applyAlignment="1">
      <alignment horizontal="left" wrapText="1"/>
    </xf>
    <xf numFmtId="0" fontId="8" fillId="3" borderId="53" xfId="0" applyFont="1" applyFill="1" applyBorder="1" applyAlignment="1">
      <alignment horizontal="left" vertical="center" wrapText="1"/>
    </xf>
    <xf numFmtId="0" fontId="8" fillId="2" borderId="16" xfId="0" applyFont="1" applyFill="1" applyBorder="1" applyAlignment="1">
      <alignment horizontal="left" vertical="center" wrapText="1"/>
    </xf>
    <xf numFmtId="0" fontId="8" fillId="2" borderId="33" xfId="0" applyFont="1" applyFill="1" applyBorder="1" applyAlignment="1">
      <alignment horizontal="center" vertical="center"/>
    </xf>
    <xf numFmtId="0" fontId="6" fillId="0" borderId="32" xfId="0" applyFont="1" applyBorder="1" applyAlignment="1">
      <alignment horizontal="left"/>
    </xf>
    <xf numFmtId="0" fontId="8" fillId="3" borderId="24" xfId="0" applyFont="1" applyFill="1" applyBorder="1" applyAlignment="1">
      <alignment horizontal="left" vertical="center" wrapText="1"/>
    </xf>
    <xf numFmtId="0" fontId="6" fillId="0" borderId="43" xfId="0" applyFont="1" applyBorder="1" applyAlignment="1">
      <alignment horizontal="left"/>
    </xf>
    <xf numFmtId="0" fontId="0" fillId="2" borderId="43" xfId="0" applyFill="1" applyBorder="1" applyAlignment="1">
      <alignment horizontal="left"/>
    </xf>
    <xf numFmtId="14" fontId="18" fillId="2" borderId="25" xfId="0" applyNumberFormat="1" applyFont="1" applyFill="1" applyBorder="1"/>
    <xf numFmtId="0" fontId="8" fillId="2" borderId="28" xfId="0" applyFont="1" applyFill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6" fillId="0" borderId="25" xfId="0" applyFont="1" applyBorder="1"/>
    <xf numFmtId="0" fontId="21" fillId="0" borderId="32" xfId="0" applyFont="1" applyBorder="1"/>
    <xf numFmtId="14" fontId="18" fillId="2" borderId="32" xfId="0" applyNumberFormat="1" applyFont="1" applyFill="1" applyBorder="1"/>
    <xf numFmtId="0" fontId="8" fillId="0" borderId="9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8" fillId="0" borderId="69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8" fillId="0" borderId="32" xfId="0" applyFont="1" applyBorder="1" applyAlignment="1">
      <alignment vertical="top" wrapText="1"/>
    </xf>
    <xf numFmtId="0" fontId="6" fillId="4" borderId="49" xfId="0" applyFont="1" applyFill="1" applyBorder="1" applyAlignment="1">
      <alignment horizontal="left" vertical="center"/>
    </xf>
    <xf numFmtId="0" fontId="8" fillId="4" borderId="50" xfId="0" applyFont="1" applyFill="1" applyBorder="1" applyAlignment="1">
      <alignment horizontal="left" vertical="center"/>
    </xf>
    <xf numFmtId="0" fontId="8" fillId="4" borderId="49" xfId="0" applyFont="1" applyFill="1" applyBorder="1" applyAlignment="1">
      <alignment horizontal="center" vertical="center"/>
    </xf>
    <xf numFmtId="14" fontId="8" fillId="4" borderId="51" xfId="0" applyNumberFormat="1" applyFont="1" applyFill="1" applyBorder="1" applyAlignment="1">
      <alignment horizontal="left" vertical="center"/>
    </xf>
    <xf numFmtId="14" fontId="6" fillId="4" borderId="52" xfId="0" applyNumberFormat="1" applyFont="1" applyFill="1" applyBorder="1" applyAlignment="1">
      <alignment horizontal="left" vertical="center"/>
    </xf>
    <xf numFmtId="0" fontId="8" fillId="4" borderId="11" xfId="0" applyFont="1" applyFill="1" applyBorder="1" applyAlignment="1">
      <alignment horizontal="center" vertical="center"/>
    </xf>
    <xf numFmtId="14" fontId="6" fillId="4" borderId="8" xfId="0" applyNumberFormat="1" applyFont="1" applyFill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left" vertical="top"/>
    </xf>
    <xf numFmtId="0" fontId="9" fillId="3" borderId="70" xfId="0" applyFont="1" applyFill="1" applyBorder="1" applyAlignment="1">
      <alignment horizontal="center" vertical="center"/>
    </xf>
    <xf numFmtId="0" fontId="9" fillId="3" borderId="41" xfId="0" applyFont="1" applyFill="1" applyBorder="1" applyAlignment="1">
      <alignment horizontal="center" vertical="center"/>
    </xf>
    <xf numFmtId="0" fontId="14" fillId="0" borderId="28" xfId="0" applyFont="1" applyBorder="1" applyAlignment="1">
      <alignment horizontal="left"/>
    </xf>
    <xf numFmtId="0" fontId="8" fillId="0" borderId="28" xfId="0" applyFont="1" applyBorder="1" applyAlignment="1">
      <alignment horizontal="left" wrapText="1"/>
    </xf>
    <xf numFmtId="0" fontId="8" fillId="0" borderId="70" xfId="0" applyFont="1" applyBorder="1" applyAlignment="1">
      <alignment horizontal="left"/>
    </xf>
    <xf numFmtId="0" fontId="6" fillId="0" borderId="5" xfId="0" applyFont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12" borderId="2" xfId="0" applyFill="1" applyBorder="1"/>
    <xf numFmtId="0" fontId="8" fillId="4" borderId="3" xfId="0" applyFont="1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8" fillId="12" borderId="3" xfId="0" applyFont="1" applyFill="1" applyBorder="1" applyAlignment="1">
      <alignment vertical="center"/>
    </xf>
    <xf numFmtId="0" fontId="0" fillId="12" borderId="2" xfId="0" applyFill="1" applyBorder="1" applyAlignment="1">
      <alignment horizontal="center" vertical="center"/>
    </xf>
    <xf numFmtId="0" fontId="35" fillId="0" borderId="0" xfId="0" applyFont="1"/>
    <xf numFmtId="0" fontId="36" fillId="13" borderId="0" xfId="0" applyFont="1" applyFill="1"/>
    <xf numFmtId="0" fontId="37" fillId="13" borderId="0" xfId="0" applyFont="1" applyFill="1"/>
    <xf numFmtId="0" fontId="39" fillId="0" borderId="0" xfId="0" applyFont="1"/>
    <xf numFmtId="0" fontId="40" fillId="13" borderId="0" xfId="0" applyFont="1" applyFill="1" applyAlignment="1">
      <alignment horizontal="left" wrapText="1"/>
    </xf>
    <xf numFmtId="0" fontId="35" fillId="13" borderId="0" xfId="0" applyFont="1" applyFill="1"/>
    <xf numFmtId="0" fontId="14" fillId="0" borderId="1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1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1" fontId="8" fillId="0" borderId="7" xfId="0" applyNumberFormat="1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wrapText="1"/>
    </xf>
    <xf numFmtId="0" fontId="8" fillId="0" borderId="5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14" fontId="6" fillId="0" borderId="56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6" fillId="2" borderId="25" xfId="0" applyNumberFormat="1" applyFont="1" applyFill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14" fontId="8" fillId="2" borderId="2" xfId="0" applyNumberFormat="1" applyFont="1" applyFill="1" applyBorder="1" applyAlignment="1">
      <alignment horizontal="center" vertical="center"/>
    </xf>
    <xf numFmtId="14" fontId="8" fillId="0" borderId="33" xfId="0" applyNumberFormat="1" applyFont="1" applyBorder="1" applyAlignment="1">
      <alignment horizontal="center" vertical="center"/>
    </xf>
    <xf numFmtId="14" fontId="8" fillId="0" borderId="32" xfId="0" applyNumberFormat="1" applyFont="1" applyBorder="1" applyAlignment="1">
      <alignment horizontal="center" vertical="center"/>
    </xf>
    <xf numFmtId="14" fontId="6" fillId="0" borderId="25" xfId="0" applyNumberFormat="1" applyFont="1" applyBorder="1" applyAlignment="1">
      <alignment horizontal="center" vertical="center"/>
    </xf>
    <xf numFmtId="14" fontId="8" fillId="2" borderId="25" xfId="0" applyNumberFormat="1" applyFont="1" applyFill="1" applyBorder="1" applyAlignment="1">
      <alignment horizontal="center" vertical="center"/>
    </xf>
    <xf numFmtId="14" fontId="8" fillId="0" borderId="65" xfId="0" applyNumberFormat="1" applyFont="1" applyBorder="1" applyAlignment="1">
      <alignment horizontal="center" vertical="center"/>
    </xf>
    <xf numFmtId="14" fontId="8" fillId="2" borderId="39" xfId="0" applyNumberFormat="1" applyFont="1" applyFill="1" applyBorder="1" applyAlignment="1">
      <alignment horizontal="center" vertical="center"/>
    </xf>
    <xf numFmtId="14" fontId="8" fillId="2" borderId="0" xfId="0" applyNumberFormat="1" applyFont="1" applyFill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/>
    </xf>
    <xf numFmtId="14" fontId="8" fillId="0" borderId="34" xfId="0" applyNumberFormat="1" applyFont="1" applyBorder="1" applyAlignment="1">
      <alignment horizontal="center" vertical="center"/>
    </xf>
    <xf numFmtId="14" fontId="6" fillId="2" borderId="56" xfId="0" applyNumberFormat="1" applyFont="1" applyFill="1" applyBorder="1" applyAlignment="1">
      <alignment horizontal="center" vertical="center"/>
    </xf>
    <xf numFmtId="14" fontId="8" fillId="0" borderId="13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14" fontId="6" fillId="0" borderId="34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6" fillId="0" borderId="13" xfId="0" applyNumberFormat="1" applyFont="1" applyBorder="1" applyAlignment="1">
      <alignment horizontal="center" vertical="center"/>
    </xf>
    <xf numFmtId="14" fontId="8" fillId="0" borderId="57" xfId="0" applyNumberFormat="1" applyFont="1" applyBorder="1" applyAlignment="1">
      <alignment horizontal="center" vertical="center"/>
    </xf>
    <xf numFmtId="14" fontId="6" fillId="0" borderId="32" xfId="0" applyNumberFormat="1" applyFont="1" applyBorder="1" applyAlignment="1">
      <alignment horizontal="center" vertical="center"/>
    </xf>
    <xf numFmtId="14" fontId="6" fillId="0" borderId="15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4" fontId="6" fillId="2" borderId="31" xfId="0" applyNumberFormat="1" applyFont="1" applyFill="1" applyBorder="1" applyAlignment="1">
      <alignment horizontal="center" vertical="center"/>
    </xf>
    <xf numFmtId="14" fontId="6" fillId="2" borderId="0" xfId="0" applyNumberFormat="1" applyFont="1" applyFill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14" fontId="6" fillId="0" borderId="57" xfId="0" applyNumberFormat="1" applyFont="1" applyBorder="1" applyAlignment="1">
      <alignment horizontal="center" vertical="center"/>
    </xf>
    <xf numFmtId="14" fontId="6" fillId="2" borderId="32" xfId="0" applyNumberFormat="1" applyFont="1" applyFill="1" applyBorder="1" applyAlignment="1">
      <alignment horizontal="center" vertical="center"/>
    </xf>
    <xf numFmtId="14" fontId="6" fillId="0" borderId="43" xfId="0" applyNumberFormat="1" applyFont="1" applyBorder="1" applyAlignment="1">
      <alignment horizontal="center" vertical="center"/>
    </xf>
    <xf numFmtId="14" fontId="17" fillId="0" borderId="31" xfId="0" applyNumberFormat="1" applyFont="1" applyBorder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14" fontId="6" fillId="0" borderId="31" xfId="0" applyNumberFormat="1" applyFont="1" applyBorder="1" applyAlignment="1">
      <alignment horizontal="center" vertical="center"/>
    </xf>
    <xf numFmtId="14" fontId="6" fillId="6" borderId="25" xfId="0" applyNumberFormat="1" applyFont="1" applyFill="1" applyBorder="1" applyAlignment="1">
      <alignment horizontal="center" vertical="center"/>
    </xf>
    <xf numFmtId="14" fontId="8" fillId="0" borderId="31" xfId="0" applyNumberFormat="1" applyFont="1" applyBorder="1" applyAlignment="1">
      <alignment horizontal="center" vertical="center"/>
    </xf>
    <xf numFmtId="14" fontId="6" fillId="2" borderId="11" xfId="0" applyNumberFormat="1" applyFont="1" applyFill="1" applyBorder="1" applyAlignment="1">
      <alignment horizontal="center" vertical="center"/>
    </xf>
    <xf numFmtId="14" fontId="6" fillId="2" borderId="57" xfId="0" applyNumberFormat="1" applyFont="1" applyFill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14" fontId="6" fillId="0" borderId="33" xfId="0" applyNumberFormat="1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4" fontId="6" fillId="2" borderId="34" xfId="0" applyNumberFormat="1" applyFont="1" applyFill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14" fontId="6" fillId="2" borderId="12" xfId="0" applyNumberFormat="1" applyFont="1" applyFill="1" applyBorder="1" applyAlignment="1">
      <alignment horizontal="center" vertical="center"/>
    </xf>
    <xf numFmtId="14" fontId="6" fillId="2" borderId="13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4" fontId="6" fillId="2" borderId="15" xfId="0" applyNumberFormat="1" applyFont="1" applyFill="1" applyBorder="1" applyAlignment="1">
      <alignment horizontal="center" vertical="center"/>
    </xf>
    <xf numFmtId="14" fontId="6" fillId="0" borderId="10" xfId="0" applyNumberFormat="1" applyFont="1" applyBorder="1" applyAlignment="1">
      <alignment horizontal="center" vertical="center"/>
    </xf>
    <xf numFmtId="14" fontId="8" fillId="0" borderId="50" xfId="0" applyNumberFormat="1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14" fontId="8" fillId="0" borderId="46" xfId="0" applyNumberFormat="1" applyFont="1" applyBorder="1" applyAlignment="1">
      <alignment horizontal="center" vertical="center"/>
    </xf>
    <xf numFmtId="14" fontId="12" fillId="2" borderId="25" xfId="0" applyNumberFormat="1" applyFont="1" applyFill="1" applyBorder="1" applyAlignment="1">
      <alignment horizontal="center" vertical="center"/>
    </xf>
    <xf numFmtId="14" fontId="6" fillId="2" borderId="26" xfId="0" applyNumberFormat="1" applyFont="1" applyFill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14" fontId="6" fillId="2" borderId="45" xfId="0" applyNumberFormat="1" applyFont="1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4" fontId="6" fillId="6" borderId="26" xfId="0" applyNumberFormat="1" applyFont="1" applyFill="1" applyBorder="1" applyAlignment="1">
      <alignment horizontal="center" vertical="center"/>
    </xf>
    <xf numFmtId="14" fontId="6" fillId="0" borderId="45" xfId="0" applyNumberFormat="1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14" fontId="8" fillId="2" borderId="33" xfId="0" applyNumberFormat="1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4" fontId="6" fillId="2" borderId="4" xfId="0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4" fontId="6" fillId="6" borderId="4" xfId="0" applyNumberFormat="1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14" fontId="6" fillId="2" borderId="33" xfId="0" applyNumberFormat="1" applyFont="1" applyFill="1" applyBorder="1" applyAlignment="1">
      <alignment horizontal="center" vertical="center"/>
    </xf>
    <xf numFmtId="14" fontId="6" fillId="2" borderId="32" xfId="0" applyNumberFormat="1" applyFont="1" applyFill="1" applyBorder="1" applyAlignment="1">
      <alignment horizontal="center" vertical="center" wrapText="1"/>
    </xf>
    <xf numFmtId="14" fontId="6" fillId="2" borderId="0" xfId="0" applyNumberFormat="1" applyFont="1" applyFill="1" applyAlignment="1">
      <alignment horizontal="center" vertical="center" wrapText="1"/>
    </xf>
    <xf numFmtId="14" fontId="6" fillId="2" borderId="25" xfId="0" applyNumberFormat="1" applyFont="1" applyFill="1" applyBorder="1" applyAlignment="1">
      <alignment horizontal="center" vertical="center" wrapText="1"/>
    </xf>
    <xf numFmtId="14" fontId="6" fillId="2" borderId="2" xfId="0" applyNumberFormat="1" applyFont="1" applyFill="1" applyBorder="1" applyAlignment="1">
      <alignment horizontal="center" vertical="center" wrapText="1"/>
    </xf>
    <xf numFmtId="14" fontId="6" fillId="2" borderId="33" xfId="0" applyNumberFormat="1" applyFont="1" applyFill="1" applyBorder="1" applyAlignment="1">
      <alignment horizontal="center" vertical="center" wrapText="1"/>
    </xf>
    <xf numFmtId="14" fontId="6" fillId="6" borderId="45" xfId="0" applyNumberFormat="1" applyFont="1" applyFill="1" applyBorder="1" applyAlignment="1">
      <alignment horizontal="center" vertical="center"/>
    </xf>
    <xf numFmtId="14" fontId="6" fillId="6" borderId="33" xfId="0" applyNumberFormat="1" applyFont="1" applyFill="1" applyBorder="1" applyAlignment="1">
      <alignment horizontal="center" vertical="center"/>
    </xf>
    <xf numFmtId="14" fontId="6" fillId="6" borderId="0" xfId="0" applyNumberFormat="1" applyFont="1" applyFill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14" fontId="8" fillId="2" borderId="25" xfId="0" applyNumberFormat="1" applyFont="1" applyFill="1" applyBorder="1" applyAlignment="1">
      <alignment horizontal="center" vertical="center" wrapText="1"/>
    </xf>
    <xf numFmtId="14" fontId="6" fillId="2" borderId="45" xfId="0" applyNumberFormat="1" applyFont="1" applyFill="1" applyBorder="1" applyAlignment="1">
      <alignment horizontal="center" vertical="center" wrapText="1"/>
    </xf>
    <xf numFmtId="1" fontId="6" fillId="2" borderId="0" xfId="0" applyNumberFormat="1" applyFont="1" applyFill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14" fontId="6" fillId="0" borderId="36" xfId="0" applyNumberFormat="1" applyFont="1" applyBorder="1" applyAlignment="1">
      <alignment horizontal="center" vertical="center"/>
    </xf>
    <xf numFmtId="14" fontId="8" fillId="2" borderId="2" xfId="0" applyNumberFormat="1" applyFont="1" applyFill="1" applyBorder="1" applyAlignment="1">
      <alignment horizontal="center" vertical="center" wrapText="1"/>
    </xf>
    <xf numFmtId="14" fontId="8" fillId="2" borderId="33" xfId="0" applyNumberFormat="1" applyFont="1" applyFill="1" applyBorder="1" applyAlignment="1">
      <alignment horizontal="center" vertical="center" wrapText="1"/>
    </xf>
    <xf numFmtId="14" fontId="8" fillId="2" borderId="0" xfId="0" applyNumberFormat="1" applyFont="1" applyFill="1" applyAlignment="1">
      <alignment horizontal="center" vertical="center" wrapText="1"/>
    </xf>
    <xf numFmtId="14" fontId="6" fillId="2" borderId="34" xfId="0" applyNumberFormat="1" applyFont="1" applyFill="1" applyBorder="1" applyAlignment="1">
      <alignment horizontal="center" vertical="center" wrapText="1"/>
    </xf>
    <xf numFmtId="14" fontId="16" fillId="2" borderId="0" xfId="0" applyNumberFormat="1" applyFont="1" applyFill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4" fontId="8" fillId="2" borderId="4" xfId="0" applyNumberFormat="1" applyFont="1" applyFill="1" applyBorder="1" applyAlignment="1">
      <alignment horizontal="center" vertical="center"/>
    </xf>
    <xf numFmtId="14" fontId="19" fillId="0" borderId="0" xfId="0" applyNumberFormat="1" applyFont="1" applyAlignment="1">
      <alignment horizontal="center" vertical="center" wrapText="1"/>
    </xf>
    <xf numFmtId="14" fontId="8" fillId="2" borderId="13" xfId="0" applyNumberFormat="1" applyFont="1" applyFill="1" applyBorder="1" applyAlignment="1">
      <alignment horizontal="center" vertical="center"/>
    </xf>
    <xf numFmtId="1" fontId="8" fillId="2" borderId="4" xfId="0" applyNumberFormat="1" applyFont="1" applyFill="1" applyBorder="1" applyAlignment="1">
      <alignment horizontal="center" vertical="center"/>
    </xf>
    <xf numFmtId="14" fontId="8" fillId="2" borderId="4" xfId="0" applyNumberFormat="1" applyFont="1" applyFill="1" applyBorder="1" applyAlignment="1">
      <alignment horizontal="center" vertical="center" wrapText="1"/>
    </xf>
    <xf numFmtId="14" fontId="8" fillId="2" borderId="10" xfId="0" applyNumberFormat="1" applyFont="1" applyFill="1" applyBorder="1" applyAlignment="1">
      <alignment horizontal="center" vertical="center"/>
    </xf>
    <xf numFmtId="14" fontId="14" fillId="0" borderId="51" xfId="0" applyNumberFormat="1" applyFont="1" applyBorder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4" fontId="14" fillId="0" borderId="13" xfId="0" applyNumberFormat="1" applyFont="1" applyBorder="1" applyAlignment="1">
      <alignment horizontal="center" vertical="center"/>
    </xf>
    <xf numFmtId="14" fontId="14" fillId="0" borderId="34" xfId="0" applyNumberFormat="1" applyFont="1" applyBorder="1" applyAlignment="1">
      <alignment horizontal="center" vertical="center"/>
    </xf>
    <xf numFmtId="14" fontId="8" fillId="2" borderId="26" xfId="0" applyNumberFormat="1" applyFont="1" applyFill="1" applyBorder="1" applyAlignment="1">
      <alignment horizontal="center" vertical="center"/>
    </xf>
    <xf numFmtId="14" fontId="8" fillId="2" borderId="34" xfId="0" applyNumberFormat="1" applyFont="1" applyFill="1" applyBorder="1" applyAlignment="1">
      <alignment horizontal="center" vertical="center"/>
    </xf>
    <xf numFmtId="14" fontId="6" fillId="0" borderId="54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0" fillId="10" borderId="44" xfId="0" applyFill="1" applyBorder="1"/>
    <xf numFmtId="0" fontId="0" fillId="10" borderId="51" xfId="0" applyFill="1" applyBorder="1"/>
    <xf numFmtId="0" fontId="34" fillId="10" borderId="51" xfId="0" applyFont="1" applyFill="1" applyBorder="1" applyAlignment="1">
      <alignment horizontal="center"/>
    </xf>
    <xf numFmtId="0" fontId="0" fillId="10" borderId="58" xfId="0" applyFill="1" applyBorder="1"/>
    <xf numFmtId="14" fontId="6" fillId="2" borderId="10" xfId="0" applyNumberFormat="1" applyFont="1" applyFill="1" applyBorder="1" applyAlignment="1">
      <alignment horizontal="center" vertical="center"/>
    </xf>
    <xf numFmtId="14" fontId="8" fillId="4" borderId="2" xfId="0" applyNumberFormat="1" applyFont="1" applyFill="1" applyBorder="1" applyAlignment="1">
      <alignment horizontal="left" vertical="center"/>
    </xf>
    <xf numFmtId="0" fontId="8" fillId="0" borderId="10" xfId="0" applyFont="1" applyBorder="1" applyAlignment="1">
      <alignment horizontal="center" vertical="center"/>
    </xf>
    <xf numFmtId="14" fontId="8" fillId="2" borderId="10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/>
    </xf>
    <xf numFmtId="0" fontId="6" fillId="2" borderId="15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wrapText="1"/>
    </xf>
    <xf numFmtId="0" fontId="8" fillId="2" borderId="1" xfId="0" applyFont="1" applyFill="1" applyBorder="1" applyAlignment="1">
      <alignment horizontal="center"/>
    </xf>
    <xf numFmtId="14" fontId="8" fillId="0" borderId="4" xfId="0" applyNumberFormat="1" applyFont="1" applyBorder="1" applyAlignment="1">
      <alignment horizontal="left" vertical="center"/>
    </xf>
    <xf numFmtId="0" fontId="8" fillId="2" borderId="12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0" fontId="6" fillId="0" borderId="54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3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top" wrapText="1"/>
    </xf>
    <xf numFmtId="0" fontId="6" fillId="0" borderId="57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33" xfId="0" applyFont="1" applyBorder="1" applyAlignment="1">
      <alignment horizontal="left" vertical="center" wrapText="1"/>
    </xf>
    <xf numFmtId="0" fontId="6" fillId="2" borderId="51" xfId="0" applyFont="1" applyFill="1" applyBorder="1" applyAlignment="1">
      <alignment horizontal="left" vertical="top" wrapText="1"/>
    </xf>
    <xf numFmtId="0" fontId="6" fillId="0" borderId="45" xfId="0" applyFont="1" applyBorder="1" applyAlignment="1">
      <alignment horizontal="left" vertical="center" wrapText="1"/>
    </xf>
    <xf numFmtId="0" fontId="6" fillId="2" borderId="45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34" xfId="0" applyFont="1" applyFill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3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63" xfId="0" applyFont="1" applyBorder="1" applyAlignment="1">
      <alignment horizontal="left" vertical="center" wrapText="1"/>
    </xf>
    <xf numFmtId="0" fontId="6" fillId="0" borderId="33" xfId="0" applyFont="1" applyBorder="1" applyAlignment="1">
      <alignment horizontal="left" vertical="top" wrapText="1"/>
    </xf>
    <xf numFmtId="0" fontId="6" fillId="0" borderId="57" xfId="0" applyFont="1" applyBorder="1" applyAlignment="1">
      <alignment horizontal="left" vertical="top" wrapText="1"/>
    </xf>
    <xf numFmtId="0" fontId="8" fillId="2" borderId="54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33" xfId="0" applyFont="1" applyFill="1" applyBorder="1" applyAlignment="1">
      <alignment horizontal="left" vertical="center" wrapText="1"/>
    </xf>
    <xf numFmtId="0" fontId="8" fillId="0" borderId="54" xfId="0" applyFont="1" applyBorder="1" applyAlignment="1">
      <alignment horizontal="left" vertical="center" wrapText="1"/>
    </xf>
    <xf numFmtId="0" fontId="8" fillId="0" borderId="57" xfId="0" applyFont="1" applyBorder="1" applyAlignment="1">
      <alignment horizontal="left" vertical="center" wrapText="1"/>
    </xf>
    <xf numFmtId="0" fontId="14" fillId="0" borderId="54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2" borderId="54" xfId="0" applyFont="1" applyFill="1" applyBorder="1" applyAlignment="1">
      <alignment horizontal="left" vertical="center" wrapText="1"/>
    </xf>
    <xf numFmtId="0" fontId="8" fillId="0" borderId="4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wrapText="1"/>
    </xf>
    <xf numFmtId="0" fontId="8" fillId="2" borderId="13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wrapText="1"/>
    </xf>
    <xf numFmtId="0" fontId="0" fillId="2" borderId="8" xfId="0" applyFill="1" applyBorder="1" applyAlignment="1">
      <alignment horizontal="left" wrapText="1"/>
    </xf>
    <xf numFmtId="0" fontId="8" fillId="2" borderId="8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8" fillId="2" borderId="15" xfId="0" applyFont="1" applyFill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22" fillId="7" borderId="4" xfId="0" applyFont="1" applyFill="1" applyBorder="1" applyAlignment="1">
      <alignment horizontal="left" vertical="center" wrapText="1"/>
    </xf>
    <xf numFmtId="11" fontId="8" fillId="3" borderId="2" xfId="0" applyNumberFormat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39" fillId="0" borderId="0" xfId="0" applyFont="1" applyAlignment="1">
      <alignment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wrapText="1"/>
    </xf>
    <xf numFmtId="0" fontId="6" fillId="0" borderId="54" xfId="0" applyFont="1" applyBorder="1" applyAlignment="1">
      <alignment horizontal="center" vertical="center" wrapText="1"/>
    </xf>
    <xf numFmtId="11" fontId="14" fillId="2" borderId="2" xfId="0" applyNumberFormat="1" applyFont="1" applyFill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0" fontId="6" fillId="0" borderId="51" xfId="0" applyFont="1" applyBorder="1" applyAlignment="1">
      <alignment horizontal="left" vertical="center" wrapText="1"/>
    </xf>
    <xf numFmtId="0" fontId="8" fillId="0" borderId="51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14" fontId="8" fillId="0" borderId="51" xfId="0" applyNumberFormat="1" applyFont="1" applyBorder="1" applyAlignment="1">
      <alignment horizontal="center" vertical="center"/>
    </xf>
    <xf numFmtId="0" fontId="8" fillId="2" borderId="26" xfId="0" applyFont="1" applyFill="1" applyBorder="1" applyAlignment="1">
      <alignment horizontal="left" vertical="center" wrapText="1"/>
    </xf>
    <xf numFmtId="14" fontId="6" fillId="2" borderId="46" xfId="0" applyNumberFormat="1" applyFont="1" applyFill="1" applyBorder="1" applyAlignment="1">
      <alignment horizontal="center" vertical="center"/>
    </xf>
    <xf numFmtId="14" fontId="8" fillId="0" borderId="29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14" fontId="14" fillId="0" borderId="0" xfId="0" applyNumberFormat="1" applyFont="1" applyAlignment="1">
      <alignment vertical="center"/>
    </xf>
    <xf numFmtId="0" fontId="6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left" vertical="center"/>
    </xf>
    <xf numFmtId="14" fontId="6" fillId="0" borderId="9" xfId="0" applyNumberFormat="1" applyFont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14" fontId="6" fillId="0" borderId="15" xfId="0" applyNumberFormat="1" applyFont="1" applyBorder="1" applyAlignment="1">
      <alignment horizontal="left" vertical="center"/>
    </xf>
    <xf numFmtId="0" fontId="6" fillId="2" borderId="51" xfId="0" applyFont="1" applyFill="1" applyBorder="1" applyAlignment="1">
      <alignment horizontal="left" vertical="center" wrapText="1"/>
    </xf>
    <xf numFmtId="14" fontId="6" fillId="0" borderId="51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left" wrapText="1"/>
    </xf>
    <xf numFmtId="0" fontId="5" fillId="0" borderId="7" xfId="0" applyFont="1" applyBorder="1" applyAlignment="1">
      <alignment horizontal="left"/>
    </xf>
    <xf numFmtId="0" fontId="8" fillId="2" borderId="25" xfId="0" applyFont="1" applyFill="1" applyBorder="1" applyAlignment="1">
      <alignment horizontal="left" vertical="center" wrapText="1"/>
    </xf>
    <xf numFmtId="0" fontId="41" fillId="0" borderId="2" xfId="0" applyFont="1" applyBorder="1" applyAlignment="1">
      <alignment horizontal="left" vertical="center"/>
    </xf>
    <xf numFmtId="0" fontId="42" fillId="0" borderId="7" xfId="0" applyFont="1" applyBorder="1" applyAlignment="1">
      <alignment horizontal="center" vertical="center"/>
    </xf>
    <xf numFmtId="14" fontId="42" fillId="0" borderId="7" xfId="0" applyNumberFormat="1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14" fontId="42" fillId="0" borderId="2" xfId="0" applyNumberFormat="1" applyFont="1" applyBorder="1" applyAlignment="1">
      <alignment horizontal="center" vertical="center"/>
    </xf>
    <xf numFmtId="14" fontId="42" fillId="0" borderId="2" xfId="0" applyNumberFormat="1" applyFont="1" applyBorder="1" applyAlignment="1">
      <alignment horizontal="center" vertical="center" wrapText="1"/>
    </xf>
    <xf numFmtId="0" fontId="43" fillId="0" borderId="16" xfId="0" applyFont="1" applyBorder="1" applyAlignment="1">
      <alignment horizontal="center" vertical="center" wrapText="1"/>
    </xf>
    <xf numFmtId="0" fontId="44" fillId="0" borderId="19" xfId="0" applyFont="1" applyBorder="1" applyAlignment="1">
      <alignment horizontal="center" vertical="center" wrapText="1"/>
    </xf>
    <xf numFmtId="0" fontId="44" fillId="0" borderId="16" xfId="0" applyFont="1" applyBorder="1" applyAlignment="1">
      <alignment horizontal="center" vertical="center" wrapText="1"/>
    </xf>
    <xf numFmtId="0" fontId="43" fillId="0" borderId="19" xfId="0" applyFont="1" applyBorder="1" applyAlignment="1">
      <alignment horizontal="center" vertical="center" wrapText="1"/>
    </xf>
    <xf numFmtId="14" fontId="6" fillId="0" borderId="10" xfId="0" applyNumberFormat="1" applyFont="1" applyBorder="1" applyAlignment="1">
      <alignment horizontal="left" vertical="center" wrapText="1"/>
    </xf>
    <xf numFmtId="14" fontId="6" fillId="0" borderId="7" xfId="0" applyNumberFormat="1" applyFont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2" borderId="32" xfId="0" applyFont="1" applyFill="1" applyBorder="1" applyAlignment="1">
      <alignment horizontal="left" wrapText="1"/>
    </xf>
    <xf numFmtId="0" fontId="1" fillId="2" borderId="68" xfId="0" applyFont="1" applyFill="1" applyBorder="1" applyAlignment="1">
      <alignment horizontal="left"/>
    </xf>
    <xf numFmtId="0" fontId="1" fillId="2" borderId="62" xfId="0" applyFont="1" applyFill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4" fillId="0" borderId="32" xfId="0" applyFont="1" applyBorder="1" applyAlignment="1">
      <alignment vertical="center"/>
    </xf>
    <xf numFmtId="14" fontId="14" fillId="0" borderId="32" xfId="0" applyNumberFormat="1" applyFont="1" applyBorder="1" applyAlignment="1">
      <alignment vertical="center"/>
    </xf>
    <xf numFmtId="0" fontId="45" fillId="0" borderId="0" xfId="0" applyFont="1"/>
    <xf numFmtId="14" fontId="6" fillId="2" borderId="43" xfId="0" applyNumberFormat="1" applyFont="1" applyFill="1" applyBorder="1" applyAlignment="1">
      <alignment horizontal="center" vertical="center"/>
    </xf>
    <xf numFmtId="0" fontId="14" fillId="0" borderId="34" xfId="0" applyFont="1" applyBorder="1" applyAlignment="1">
      <alignment horizontal="left"/>
    </xf>
    <xf numFmtId="0" fontId="14" fillId="0" borderId="15" xfId="0" applyFont="1" applyBorder="1" applyAlignment="1">
      <alignment horizontal="left"/>
    </xf>
    <xf numFmtId="0" fontId="8" fillId="0" borderId="71" xfId="0" applyFont="1" applyBorder="1" applyAlignment="1">
      <alignment horizontal="left" vertical="center"/>
    </xf>
    <xf numFmtId="14" fontId="5" fillId="0" borderId="2" xfId="0" applyNumberFormat="1" applyFont="1" applyBorder="1" applyAlignment="1">
      <alignment horizontal="left"/>
    </xf>
    <xf numFmtId="0" fontId="21" fillId="0" borderId="2" xfId="0" applyFont="1" applyBorder="1" applyAlignment="1">
      <alignment horizontal="left" vertical="center"/>
    </xf>
    <xf numFmtId="14" fontId="21" fillId="0" borderId="2" xfId="0" applyNumberFormat="1" applyFont="1" applyBorder="1" applyAlignment="1">
      <alignment horizontal="left" vertical="center"/>
    </xf>
    <xf numFmtId="0" fontId="0" fillId="2" borderId="4" xfId="0" applyFill="1" applyBorder="1" applyAlignment="1">
      <alignment horizontal="left"/>
    </xf>
    <xf numFmtId="14" fontId="8" fillId="2" borderId="7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14" fontId="6" fillId="0" borderId="14" xfId="0" applyNumberFormat="1" applyFont="1" applyBorder="1" applyAlignment="1">
      <alignment horizontal="center" vertical="center"/>
    </xf>
    <xf numFmtId="0" fontId="14" fillId="0" borderId="14" xfId="0" applyFont="1" applyBorder="1" applyAlignment="1">
      <alignment vertical="center" wrapText="1"/>
    </xf>
    <xf numFmtId="0" fontId="14" fillId="0" borderId="7" xfId="0" applyFont="1" applyBorder="1" applyAlignment="1">
      <alignment horizontal="center" vertical="center"/>
    </xf>
    <xf numFmtId="0" fontId="6" fillId="2" borderId="65" xfId="0" applyFont="1" applyFill="1" applyBorder="1" applyAlignment="1">
      <alignment horizontal="left" vertical="center" wrapText="1"/>
    </xf>
    <xf numFmtId="0" fontId="14" fillId="0" borderId="2" xfId="0" applyFont="1" applyBorder="1" applyAlignment="1">
      <alignment vertical="center"/>
    </xf>
    <xf numFmtId="0" fontId="6" fillId="0" borderId="14" xfId="0" applyFont="1" applyBorder="1" applyAlignment="1">
      <alignment horizontal="left" vertical="center"/>
    </xf>
    <xf numFmtId="0" fontId="8" fillId="2" borderId="14" xfId="0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left"/>
    </xf>
    <xf numFmtId="0" fontId="14" fillId="0" borderId="33" xfId="0" applyFont="1" applyBorder="1" applyAlignment="1">
      <alignment horizontal="left"/>
    </xf>
    <xf numFmtId="0" fontId="8" fillId="0" borderId="33" xfId="0" applyFont="1" applyBorder="1" applyAlignment="1">
      <alignment horizontal="left" vertical="center"/>
    </xf>
    <xf numFmtId="0" fontId="14" fillId="0" borderId="34" xfId="0" applyFont="1" applyBorder="1" applyAlignment="1">
      <alignment vertical="center" wrapText="1"/>
    </xf>
    <xf numFmtId="0" fontId="14" fillId="0" borderId="34" xfId="0" applyFont="1" applyBorder="1" applyAlignment="1">
      <alignment horizontal="center" vertical="center"/>
    </xf>
    <xf numFmtId="14" fontId="8" fillId="2" borderId="34" xfId="0" applyNumberFormat="1" applyFont="1" applyFill="1" applyBorder="1" applyAlignment="1">
      <alignment horizontal="left" vertical="center"/>
    </xf>
    <xf numFmtId="1" fontId="8" fillId="0" borderId="34" xfId="0" applyNumberFormat="1" applyFont="1" applyBorder="1" applyAlignment="1">
      <alignment horizontal="left" vertical="center"/>
    </xf>
    <xf numFmtId="0" fontId="6" fillId="2" borderId="43" xfId="0" applyFont="1" applyFill="1" applyBorder="1" applyAlignment="1">
      <alignment horizontal="left" vertical="center"/>
    </xf>
    <xf numFmtId="0" fontId="14" fillId="0" borderId="57" xfId="0" applyFont="1" applyBorder="1" applyAlignment="1">
      <alignment vertical="center" wrapText="1"/>
    </xf>
    <xf numFmtId="0" fontId="14" fillId="0" borderId="32" xfId="0" applyFont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left" vertical="top"/>
    </xf>
    <xf numFmtId="0" fontId="6" fillId="0" borderId="45" xfId="0" applyFont="1" applyBorder="1" applyAlignment="1">
      <alignment horizontal="center" vertical="top"/>
    </xf>
    <xf numFmtId="0" fontId="46" fillId="0" borderId="0" xfId="0" applyFont="1" applyAlignment="1">
      <alignment vertical="top"/>
    </xf>
    <xf numFmtId="14" fontId="46" fillId="0" borderId="25" xfId="0" applyNumberFormat="1" applyFont="1" applyBorder="1" applyAlignment="1">
      <alignment vertical="top"/>
    </xf>
    <xf numFmtId="0" fontId="8" fillId="0" borderId="25" xfId="0" applyFont="1" applyBorder="1" applyAlignment="1">
      <alignment vertical="top"/>
    </xf>
    <xf numFmtId="0" fontId="6" fillId="0" borderId="25" xfId="0" applyFont="1" applyBorder="1" applyAlignment="1">
      <alignment horizontal="left" vertical="top"/>
    </xf>
    <xf numFmtId="0" fontId="8" fillId="0" borderId="27" xfId="0" applyFont="1" applyBorder="1" applyAlignment="1">
      <alignment horizontal="center" vertical="top"/>
    </xf>
    <xf numFmtId="0" fontId="0" fillId="2" borderId="0" xfId="0" applyFill="1" applyAlignment="1">
      <alignment vertical="top"/>
    </xf>
    <xf numFmtId="0" fontId="0" fillId="0" borderId="0" xfId="0" applyAlignment="1">
      <alignment vertical="top"/>
    </xf>
    <xf numFmtId="0" fontId="8" fillId="2" borderId="1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left"/>
    </xf>
    <xf numFmtId="14" fontId="8" fillId="2" borderId="13" xfId="0" applyNumberFormat="1" applyFont="1" applyFill="1" applyBorder="1" applyAlignment="1">
      <alignment horizontal="left" vertical="center" wrapText="1"/>
    </xf>
    <xf numFmtId="1" fontId="8" fillId="0" borderId="13" xfId="0" applyNumberFormat="1" applyFont="1" applyBorder="1" applyAlignment="1">
      <alignment horizontal="left" vertical="center" wrapText="1"/>
    </xf>
    <xf numFmtId="0" fontId="8" fillId="2" borderId="0" xfId="0" applyFont="1" applyFill="1" applyAlignment="1">
      <alignment horizontal="left" wrapText="1"/>
    </xf>
    <xf numFmtId="0" fontId="6" fillId="2" borderId="61" xfId="0" applyFont="1" applyFill="1" applyBorder="1" applyAlignment="1">
      <alignment horizontal="left" vertical="center"/>
    </xf>
    <xf numFmtId="0" fontId="8" fillId="0" borderId="62" xfId="0" applyFont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11" fontId="8" fillId="0" borderId="2" xfId="0" applyNumberFormat="1" applyFont="1" applyBorder="1" applyAlignment="1">
      <alignment horizontal="left" vertical="center" wrapText="1"/>
    </xf>
    <xf numFmtId="0" fontId="2" fillId="0" borderId="0" xfId="0" applyFont="1"/>
    <xf numFmtId="0" fontId="9" fillId="0" borderId="0" xfId="0" applyFont="1" applyAlignment="1">
      <alignment vertical="center"/>
    </xf>
    <xf numFmtId="0" fontId="47" fillId="0" borderId="72" xfId="0" applyFont="1" applyBorder="1"/>
    <xf numFmtId="0" fontId="47" fillId="0" borderId="19" xfId="0" applyFont="1" applyBorder="1"/>
    <xf numFmtId="0" fontId="47" fillId="0" borderId="0" xfId="0" applyFont="1"/>
    <xf numFmtId="0" fontId="47" fillId="0" borderId="40" xfId="0" applyFont="1" applyBorder="1"/>
    <xf numFmtId="0" fontId="47" fillId="2" borderId="40" xfId="0" applyFont="1" applyFill="1" applyBorder="1"/>
    <xf numFmtId="0" fontId="47" fillId="0" borderId="16" xfId="0" applyFont="1" applyBorder="1"/>
    <xf numFmtId="0" fontId="47" fillId="2" borderId="16" xfId="0" applyFont="1" applyFill="1" applyBorder="1"/>
    <xf numFmtId="0" fontId="47" fillId="2" borderId="2" xfId="0" applyFont="1" applyFill="1" applyBorder="1"/>
    <xf numFmtId="0" fontId="47" fillId="0" borderId="2" xfId="0" applyFont="1" applyBorder="1"/>
    <xf numFmtId="0" fontId="2" fillId="0" borderId="0" xfId="0" applyFont="1" applyAlignment="1">
      <alignment horizontal="left"/>
    </xf>
    <xf numFmtId="0" fontId="8" fillId="0" borderId="48" xfId="0" applyFont="1" applyBorder="1" applyAlignment="1">
      <alignment horizontal="left" vertical="top"/>
    </xf>
    <xf numFmtId="0" fontId="8" fillId="0" borderId="73" xfId="0" applyFont="1" applyBorder="1" applyAlignment="1">
      <alignment horizontal="left" vertical="top"/>
    </xf>
    <xf numFmtId="14" fontId="8" fillId="2" borderId="49" xfId="0" applyNumberFormat="1" applyFont="1" applyFill="1" applyBorder="1" applyAlignment="1">
      <alignment horizontal="left" vertical="top" wrapText="1"/>
    </xf>
    <xf numFmtId="1" fontId="8" fillId="0" borderId="49" xfId="0" applyNumberFormat="1" applyFont="1" applyBorder="1" applyAlignment="1">
      <alignment horizontal="left" vertical="top" wrapText="1"/>
    </xf>
    <xf numFmtId="0" fontId="8" fillId="0" borderId="52" xfId="0" applyFont="1" applyBorder="1" applyAlignment="1">
      <alignment horizontal="left" vertical="top" wrapText="1"/>
    </xf>
    <xf numFmtId="0" fontId="0" fillId="0" borderId="37" xfId="0" applyBorder="1"/>
    <xf numFmtId="0" fontId="0" fillId="0" borderId="23" xfId="0" applyBorder="1"/>
    <xf numFmtId="0" fontId="8" fillId="6" borderId="32" xfId="0" applyFont="1" applyFill="1" applyBorder="1" applyAlignment="1">
      <alignment horizontal="center" vertical="center"/>
    </xf>
    <xf numFmtId="0" fontId="6" fillId="6" borderId="32" xfId="0" applyFont="1" applyFill="1" applyBorder="1" applyAlignment="1">
      <alignment horizontal="center" vertical="center"/>
    </xf>
    <xf numFmtId="0" fontId="6" fillId="2" borderId="56" xfId="0" applyFont="1" applyFill="1" applyBorder="1" applyAlignment="1">
      <alignment horizontal="left" vertical="center"/>
    </xf>
    <xf numFmtId="0" fontId="8" fillId="0" borderId="24" xfId="0" applyFont="1" applyBorder="1" applyAlignment="1">
      <alignment horizontal="left" vertical="center" wrapText="1"/>
    </xf>
    <xf numFmtId="14" fontId="6" fillId="2" borderId="27" xfId="0" applyNumberFormat="1" applyFont="1" applyFill="1" applyBorder="1" applyAlignment="1">
      <alignment horizontal="center" vertical="center"/>
    </xf>
    <xf numFmtId="14" fontId="6" fillId="0" borderId="29" xfId="0" applyNumberFormat="1" applyFont="1" applyBorder="1" applyAlignment="1">
      <alignment horizontal="center" vertical="center"/>
    </xf>
    <xf numFmtId="0" fontId="8" fillId="2" borderId="30" xfId="0" applyFont="1" applyFill="1" applyBorder="1" applyAlignment="1">
      <alignment horizontal="left" vertical="center" wrapText="1"/>
    </xf>
    <xf numFmtId="14" fontId="6" fillId="6" borderId="35" xfId="0" applyNumberFormat="1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14" fontId="6" fillId="6" borderId="7" xfId="0" applyNumberFormat="1" applyFont="1" applyFill="1" applyBorder="1" applyAlignment="1">
      <alignment horizontal="center" vertical="center"/>
    </xf>
    <xf numFmtId="0" fontId="47" fillId="0" borderId="27" xfId="0" applyFont="1" applyBorder="1"/>
    <xf numFmtId="0" fontId="47" fillId="0" borderId="1" xfId="0" applyFont="1" applyBorder="1"/>
    <xf numFmtId="14" fontId="6" fillId="0" borderId="12" xfId="0" applyNumberFormat="1" applyFont="1" applyBorder="1" applyAlignment="1">
      <alignment horizontal="center" vertical="center"/>
    </xf>
    <xf numFmtId="0" fontId="14" fillId="2" borderId="25" xfId="0" applyFont="1" applyFill="1" applyBorder="1" applyAlignment="1">
      <alignment horizontal="left"/>
    </xf>
    <xf numFmtId="0" fontId="8" fillId="2" borderId="25" xfId="0" applyFont="1" applyFill="1" applyBorder="1" applyAlignment="1">
      <alignment horizontal="left" wrapText="1"/>
    </xf>
    <xf numFmtId="0" fontId="47" fillId="0" borderId="29" xfId="0" applyFont="1" applyBorder="1"/>
    <xf numFmtId="0" fontId="18" fillId="2" borderId="57" xfId="0" applyFont="1" applyFill="1" applyBorder="1" applyAlignment="1">
      <alignment horizontal="left" wrapText="1"/>
    </xf>
    <xf numFmtId="0" fontId="6" fillId="0" borderId="32" xfId="0" applyFont="1" applyBorder="1" applyAlignment="1">
      <alignment horizontal="center"/>
    </xf>
    <xf numFmtId="0" fontId="47" fillId="0" borderId="39" xfId="0" applyFont="1" applyBorder="1"/>
    <xf numFmtId="0" fontId="6" fillId="0" borderId="26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center" vertical="center"/>
    </xf>
    <xf numFmtId="0" fontId="8" fillId="2" borderId="45" xfId="0" applyFont="1" applyFill="1" applyBorder="1" applyAlignment="1">
      <alignment horizontal="left" vertical="center" wrapText="1"/>
    </xf>
    <xf numFmtId="0" fontId="21" fillId="0" borderId="45" xfId="0" applyFont="1" applyBorder="1" applyAlignment="1">
      <alignment horizontal="left" vertical="center"/>
    </xf>
    <xf numFmtId="14" fontId="21" fillId="0" borderId="56" xfId="0" applyNumberFormat="1" applyFont="1" applyBorder="1" applyAlignment="1">
      <alignment horizontal="left" vertical="center"/>
    </xf>
    <xf numFmtId="14" fontId="8" fillId="2" borderId="7" xfId="0" applyNumberFormat="1" applyFont="1" applyFill="1" applyBorder="1" applyAlignment="1">
      <alignment horizontal="left" vertical="center" wrapText="1"/>
    </xf>
    <xf numFmtId="0" fontId="47" fillId="0" borderId="7" xfId="0" applyFont="1" applyBorder="1"/>
    <xf numFmtId="0" fontId="5" fillId="2" borderId="10" xfId="0" applyFont="1" applyFill="1" applyBorder="1" applyAlignment="1">
      <alignment horizontal="left"/>
    </xf>
    <xf numFmtId="0" fontId="47" fillId="0" borderId="10" xfId="0" applyFont="1" applyBorder="1"/>
    <xf numFmtId="0" fontId="8" fillId="3" borderId="55" xfId="0" applyFont="1" applyFill="1" applyBorder="1" applyAlignment="1">
      <alignment horizontal="left" vertical="center" wrapText="1"/>
    </xf>
    <xf numFmtId="14" fontId="0" fillId="2" borderId="7" xfId="0" applyNumberFormat="1" applyFill="1" applyBorder="1" applyAlignment="1">
      <alignment horizontal="left"/>
    </xf>
    <xf numFmtId="0" fontId="6" fillId="2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74" xfId="0" applyBorder="1" applyAlignment="1">
      <alignment horizontal="left"/>
    </xf>
    <xf numFmtId="14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vertical="top" wrapText="1"/>
    </xf>
    <xf numFmtId="0" fontId="8" fillId="0" borderId="41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8" fillId="8" borderId="20" xfId="0" applyFont="1" applyFill="1" applyBorder="1" applyAlignment="1">
      <alignment horizontal="left" vertical="center" wrapText="1"/>
    </xf>
    <xf numFmtId="0" fontId="8" fillId="8" borderId="55" xfId="0" applyFont="1" applyFill="1" applyBorder="1" applyAlignment="1">
      <alignment horizontal="left" vertical="center" wrapText="1"/>
    </xf>
    <xf numFmtId="0" fontId="11" fillId="8" borderId="20" xfId="0" applyFont="1" applyFill="1" applyBorder="1" applyAlignment="1">
      <alignment horizontal="left" vertical="center" wrapText="1"/>
    </xf>
    <xf numFmtId="0" fontId="8" fillId="2" borderId="33" xfId="0" applyFont="1" applyFill="1" applyBorder="1" applyAlignment="1">
      <alignment horizontal="left" vertical="center" wrapText="1"/>
    </xf>
    <xf numFmtId="0" fontId="8" fillId="0" borderId="73" xfId="0" applyFont="1" applyBorder="1" applyAlignment="1">
      <alignment horizontal="left" vertical="center"/>
    </xf>
    <xf numFmtId="1" fontId="8" fillId="0" borderId="73" xfId="0" applyNumberFormat="1" applyFont="1" applyBorder="1" applyAlignment="1">
      <alignment horizontal="left" vertical="center" wrapText="1"/>
    </xf>
    <xf numFmtId="14" fontId="8" fillId="2" borderId="73" xfId="0" applyNumberFormat="1" applyFont="1" applyFill="1" applyBorder="1" applyAlignment="1">
      <alignment horizontal="left" vertical="center" wrapText="1"/>
    </xf>
    <xf numFmtId="0" fontId="8" fillId="0" borderId="73" xfId="0" applyFont="1" applyBorder="1" applyAlignment="1">
      <alignment horizontal="left"/>
    </xf>
    <xf numFmtId="0" fontId="14" fillId="0" borderId="73" xfId="0" applyFont="1" applyBorder="1" applyAlignment="1">
      <alignment horizontal="left"/>
    </xf>
    <xf numFmtId="0" fontId="6" fillId="2" borderId="48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/>
    </xf>
    <xf numFmtId="0" fontId="6" fillId="2" borderId="67" xfId="0" applyFont="1" applyFill="1" applyBorder="1" applyAlignment="1">
      <alignment horizontal="left" vertical="center"/>
    </xf>
    <xf numFmtId="14" fontId="8" fillId="2" borderId="29" xfId="0" applyNumberFormat="1" applyFont="1" applyFill="1" applyBorder="1" applyAlignment="1">
      <alignment horizontal="center" vertical="center"/>
    </xf>
    <xf numFmtId="14" fontId="8" fillId="2" borderId="6" xfId="0" applyNumberFormat="1" applyFont="1" applyFill="1" applyBorder="1" applyAlignment="1">
      <alignment horizontal="center" vertical="center"/>
    </xf>
    <xf numFmtId="0" fontId="6" fillId="0" borderId="25" xfId="0" applyFont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wrapText="1"/>
    </xf>
    <xf numFmtId="0" fontId="8" fillId="2" borderId="2" xfId="0" applyFont="1" applyFill="1" applyBorder="1" applyAlignment="1">
      <alignment horizontal="center"/>
    </xf>
    <xf numFmtId="0" fontId="8" fillId="5" borderId="3" xfId="0" applyFont="1" applyFill="1" applyBorder="1" applyAlignment="1">
      <alignment vertical="center"/>
    </xf>
    <xf numFmtId="0" fontId="6" fillId="0" borderId="9" xfId="0" applyFont="1" applyBorder="1" applyAlignment="1">
      <alignment horizontal="left" vertical="center" wrapText="1"/>
    </xf>
    <xf numFmtId="0" fontId="6" fillId="0" borderId="57" xfId="0" applyFont="1" applyBorder="1"/>
    <xf numFmtId="0" fontId="6" fillId="2" borderId="1" xfId="0" applyFont="1" applyFill="1" applyBorder="1" applyAlignment="1">
      <alignment horizontal="left"/>
    </xf>
    <xf numFmtId="0" fontId="6" fillId="0" borderId="7" xfId="0" applyFont="1" applyBorder="1"/>
    <xf numFmtId="0" fontId="6" fillId="0" borderId="2" xfId="0" applyFont="1" applyBorder="1"/>
    <xf numFmtId="14" fontId="0" fillId="0" borderId="2" xfId="0" applyNumberFormat="1" applyBorder="1" applyAlignment="1">
      <alignment horizontal="center"/>
    </xf>
    <xf numFmtId="0" fontId="14" fillId="0" borderId="1" xfId="0" applyFont="1" applyBorder="1"/>
    <xf numFmtId="0" fontId="8" fillId="0" borderId="1" xfId="0" applyFont="1" applyBorder="1"/>
    <xf numFmtId="14" fontId="0" fillId="0" borderId="2" xfId="0" applyNumberFormat="1" applyBorder="1" applyAlignment="1">
      <alignment horizontal="left"/>
    </xf>
    <xf numFmtId="0" fontId="48" fillId="0" borderId="2" xfId="0" applyFont="1" applyBorder="1"/>
    <xf numFmtId="0" fontId="11" fillId="0" borderId="2" xfId="0" applyFont="1" applyBorder="1"/>
    <xf numFmtId="0" fontId="18" fillId="2" borderId="2" xfId="0" applyFont="1" applyFill="1" applyBorder="1" applyAlignment="1">
      <alignment horizontal="left" vertical="center"/>
    </xf>
    <xf numFmtId="14" fontId="18" fillId="0" borderId="2" xfId="0" applyNumberFormat="1" applyFont="1" applyBorder="1" applyAlignment="1">
      <alignment horizontal="center"/>
    </xf>
    <xf numFmtId="0" fontId="8" fillId="0" borderId="2" xfId="2" applyFont="1" applyBorder="1" applyAlignment="1">
      <alignment horizontal="left" vertical="center"/>
    </xf>
    <xf numFmtId="0" fontId="8" fillId="2" borderId="1" xfId="0" applyFont="1" applyFill="1" applyBorder="1" applyAlignment="1">
      <alignment horizontal="left" wrapText="1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14" fontId="14" fillId="0" borderId="2" xfId="0" applyNumberFormat="1" applyFont="1" applyBorder="1" applyAlignment="1">
      <alignment vertical="center"/>
    </xf>
    <xf numFmtId="0" fontId="1" fillId="2" borderId="2" xfId="0" applyFont="1" applyFill="1" applyBorder="1" applyAlignment="1">
      <alignment horizontal="left"/>
    </xf>
    <xf numFmtId="14" fontId="16" fillId="2" borderId="4" xfId="0" applyNumberFormat="1" applyFont="1" applyFill="1" applyBorder="1" applyAlignment="1">
      <alignment horizontal="center" vertical="center"/>
    </xf>
    <xf numFmtId="0" fontId="8" fillId="0" borderId="7" xfId="0" quotePrefix="1" applyFont="1" applyBorder="1" applyAlignment="1">
      <alignment horizontal="center"/>
    </xf>
    <xf numFmtId="14" fontId="12" fillId="2" borderId="7" xfId="0" applyNumberFormat="1" applyFont="1" applyFill="1" applyBorder="1" applyAlignment="1">
      <alignment horizontal="center" vertical="center"/>
    </xf>
    <xf numFmtId="0" fontId="14" fillId="0" borderId="14" xfId="0" applyFont="1" applyBorder="1" applyAlignment="1">
      <alignment horizontal="left"/>
    </xf>
    <xf numFmtId="0" fontId="5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0" fillId="2" borderId="13" xfId="0" applyNumberFormat="1" applyFill="1" applyBorder="1" applyAlignment="1">
      <alignment horizontal="left"/>
    </xf>
    <xf numFmtId="0" fontId="0" fillId="2" borderId="8" xfId="0" applyFill="1" applyBorder="1" applyAlignment="1">
      <alignment horizontal="left"/>
    </xf>
    <xf numFmtId="1" fontId="0" fillId="0" borderId="0" xfId="0" applyNumberFormat="1" applyAlignment="1">
      <alignment horizontal="left" vertical="center"/>
    </xf>
    <xf numFmtId="0" fontId="0" fillId="0" borderId="2" xfId="0" applyBorder="1" applyAlignment="1">
      <alignment horizontal="center"/>
    </xf>
    <xf numFmtId="0" fontId="6" fillId="4" borderId="25" xfId="0" applyFont="1" applyFill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center" wrapText="1"/>
    </xf>
    <xf numFmtId="0" fontId="0" fillId="0" borderId="8" xfId="0" applyBorder="1" applyAlignment="1">
      <alignment horizontal="left"/>
    </xf>
    <xf numFmtId="0" fontId="0" fillId="2" borderId="51" xfId="0" applyFill="1" applyBorder="1" applyAlignment="1">
      <alignment horizontal="left"/>
    </xf>
    <xf numFmtId="0" fontId="47" fillId="0" borderId="37" xfId="0" applyFont="1" applyBorder="1"/>
    <xf numFmtId="0" fontId="8" fillId="0" borderId="30" xfId="0" applyFont="1" applyBorder="1" applyAlignment="1">
      <alignment horizontal="left" vertical="center" wrapText="1"/>
    </xf>
    <xf numFmtId="0" fontId="47" fillId="0" borderId="35" xfId="0" applyFont="1" applyBorder="1"/>
    <xf numFmtId="0" fontId="8" fillId="0" borderId="20" xfId="0" applyFont="1" applyBorder="1" applyAlignment="1">
      <alignment horizontal="left" vertical="center" wrapText="1"/>
    </xf>
    <xf numFmtId="0" fontId="0" fillId="2" borderId="45" xfId="0" applyFill="1" applyBorder="1" applyAlignment="1">
      <alignment horizontal="left"/>
    </xf>
    <xf numFmtId="0" fontId="0" fillId="0" borderId="45" xfId="0" applyBorder="1" applyAlignment="1">
      <alignment horizontal="left"/>
    </xf>
    <xf numFmtId="0" fontId="47" fillId="0" borderId="45" xfId="0" applyFont="1" applyBorder="1"/>
    <xf numFmtId="0" fontId="6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/>
    </xf>
    <xf numFmtId="0" fontId="8" fillId="4" borderId="7" xfId="0" applyFont="1" applyFill="1" applyBorder="1" applyAlignment="1">
      <alignment horizontal="left" vertical="center"/>
    </xf>
    <xf numFmtId="0" fontId="38" fillId="13" borderId="0" xfId="0" applyFont="1" applyFill="1" applyAlignment="1">
      <alignment horizontal="center" wrapText="1"/>
    </xf>
    <xf numFmtId="0" fontId="20" fillId="7" borderId="3" xfId="0" applyFont="1" applyFill="1" applyBorder="1" applyAlignment="1">
      <alignment horizontal="center" vertical="center"/>
    </xf>
    <xf numFmtId="0" fontId="20" fillId="7" borderId="4" xfId="0" applyFont="1" applyFill="1" applyBorder="1" applyAlignment="1">
      <alignment horizontal="center" vertical="center"/>
    </xf>
    <xf numFmtId="0" fontId="20" fillId="7" borderId="5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/>
    </xf>
    <xf numFmtId="49" fontId="9" fillId="11" borderId="1" xfId="0" applyNumberFormat="1" applyFont="1" applyFill="1" applyBorder="1" applyAlignment="1">
      <alignment horizontal="left" vertical="center"/>
    </xf>
    <xf numFmtId="49" fontId="9" fillId="11" borderId="7" xfId="0" applyNumberFormat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4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4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30" fillId="9" borderId="44" xfId="0" applyFont="1" applyFill="1" applyBorder="1" applyAlignment="1">
      <alignment horizontal="left" vertical="center" wrapText="1"/>
    </xf>
    <xf numFmtId="0" fontId="30" fillId="9" borderId="58" xfId="0" applyFont="1" applyFill="1" applyBorder="1" applyAlignment="1">
      <alignment horizontal="left" vertical="center" wrapText="1"/>
    </xf>
    <xf numFmtId="0" fontId="30" fillId="0" borderId="4" xfId="0" applyFont="1" applyBorder="1" applyAlignment="1">
      <alignment horizontal="left" vertical="center"/>
    </xf>
    <xf numFmtId="0" fontId="30" fillId="0" borderId="1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9" fillId="3" borderId="68" xfId="0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 vertical="center"/>
    </xf>
    <xf numFmtId="49" fontId="9" fillId="2" borderId="7" xfId="0" applyNumberFormat="1" applyFont="1" applyFill="1" applyBorder="1" applyAlignment="1">
      <alignment horizontal="left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</cellXfs>
  <cellStyles count="3">
    <cellStyle name="Comma 5" xfId="1" xr:uid="{00000000-0005-0000-0000-000000000000}"/>
    <cellStyle name="Normal" xfId="0" builtinId="0"/>
    <cellStyle name="Normal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339"/>
  <sheetViews>
    <sheetView tabSelected="1" zoomScale="85" zoomScaleNormal="85" workbookViewId="0">
      <selection activeCell="A3" sqref="A3:N3"/>
    </sheetView>
  </sheetViews>
  <sheetFormatPr defaultRowHeight="15" x14ac:dyDescent="0.25"/>
  <cols>
    <col min="1" max="1" width="3.5703125" style="145" customWidth="1"/>
    <col min="2" max="2" width="26.140625" customWidth="1"/>
    <col min="3" max="3" width="4.28515625" style="168" customWidth="1"/>
    <col min="4" max="4" width="18.85546875" style="841" customWidth="1"/>
    <col min="5" max="5" width="12.85546875" style="232" customWidth="1"/>
    <col min="6" max="6" width="17.140625" customWidth="1"/>
    <col min="7" max="7" width="12.140625" customWidth="1"/>
    <col min="8" max="8" width="14.28515625" customWidth="1"/>
    <col min="9" max="9" width="11.140625" customWidth="1"/>
    <col min="10" max="10" width="6" customWidth="1"/>
    <col min="11" max="11" width="11.85546875" style="58" customWidth="1"/>
    <col min="12" max="12" width="10.7109375" bestFit="1" customWidth="1"/>
    <col min="13" max="13" width="3.5703125" customWidth="1"/>
    <col min="14" max="14" width="6" customWidth="1"/>
    <col min="15" max="15" width="1.140625" style="168" customWidth="1"/>
    <col min="16" max="16" width="9.7109375" style="996" bestFit="1" customWidth="1"/>
  </cols>
  <sheetData>
    <row r="2" spans="1:17" ht="21.75" customHeight="1" x14ac:dyDescent="0.25">
      <c r="A2" s="1128" t="s">
        <v>0</v>
      </c>
      <c r="B2" s="1128"/>
      <c r="C2" s="1128"/>
      <c r="D2" s="1128"/>
      <c r="E2" s="1128"/>
      <c r="F2" s="1128"/>
      <c r="G2" s="1128"/>
      <c r="H2" s="1128"/>
      <c r="I2" s="1128"/>
      <c r="J2" s="1128"/>
      <c r="K2" s="1128"/>
      <c r="L2" s="1128"/>
      <c r="M2" s="1128"/>
      <c r="N2" s="1128"/>
      <c r="O2" s="187"/>
      <c r="P2" s="1"/>
      <c r="Q2" s="1"/>
    </row>
    <row r="3" spans="1:17" x14ac:dyDescent="0.25">
      <c r="A3" s="1129" t="s">
        <v>1</v>
      </c>
      <c r="B3" s="1129"/>
      <c r="C3" s="1129"/>
      <c r="D3" s="1129"/>
      <c r="E3" s="1129"/>
      <c r="F3" s="1129"/>
      <c r="G3" s="1129"/>
      <c r="H3" s="1129"/>
      <c r="I3" s="1129"/>
      <c r="J3" s="1129"/>
      <c r="K3" s="1129"/>
      <c r="L3" s="1129"/>
      <c r="M3" s="1129"/>
      <c r="N3" s="1129"/>
      <c r="O3" s="188"/>
      <c r="P3" s="143"/>
      <c r="Q3" s="2"/>
    </row>
    <row r="4" spans="1:17" ht="21" x14ac:dyDescent="0.25">
      <c r="A4" s="244"/>
      <c r="B4" s="161" t="s">
        <v>1007</v>
      </c>
      <c r="E4" s="130"/>
    </row>
    <row r="5" spans="1:17" x14ac:dyDescent="0.25">
      <c r="A5" s="6" t="s">
        <v>862</v>
      </c>
      <c r="B5" s="5"/>
      <c r="C5" s="189"/>
      <c r="D5" s="842"/>
      <c r="E5" s="123"/>
      <c r="F5" s="4"/>
      <c r="G5" s="4"/>
      <c r="H5" s="4"/>
      <c r="I5" s="6"/>
      <c r="J5" s="7"/>
      <c r="K5" s="6"/>
      <c r="L5" s="8"/>
      <c r="M5" s="8"/>
      <c r="N5" s="4"/>
      <c r="O5" s="189"/>
      <c r="P5" s="997"/>
      <c r="Q5" s="4"/>
    </row>
    <row r="6" spans="1:17" x14ac:dyDescent="0.25">
      <c r="A6" s="245"/>
      <c r="B6" s="3" t="s">
        <v>468</v>
      </c>
      <c r="E6" s="130"/>
      <c r="I6" s="6"/>
      <c r="J6" s="7"/>
      <c r="K6" s="6"/>
      <c r="L6" s="8"/>
      <c r="M6" s="8"/>
      <c r="N6" s="1130"/>
      <c r="O6" s="1130"/>
    </row>
    <row r="7" spans="1:17" ht="23.25" customHeight="1" x14ac:dyDescent="0.25">
      <c r="A7" s="1131" t="s">
        <v>2</v>
      </c>
      <c r="B7" s="1133" t="s">
        <v>3</v>
      </c>
      <c r="C7" s="1135" t="s">
        <v>2</v>
      </c>
      <c r="D7" s="1137" t="s">
        <v>4</v>
      </c>
      <c r="E7" s="1133" t="s">
        <v>5</v>
      </c>
      <c r="F7" s="1139" t="s">
        <v>6</v>
      </c>
      <c r="G7" s="1140"/>
      <c r="H7" s="1139" t="s">
        <v>7</v>
      </c>
      <c r="I7" s="1141"/>
      <c r="J7" s="1141"/>
      <c r="K7" s="1141"/>
      <c r="L7" s="1141"/>
      <c r="M7" s="1141"/>
      <c r="N7" s="1140"/>
      <c r="O7" s="190"/>
    </row>
    <row r="8" spans="1:17" ht="20.25" customHeight="1" thickBot="1" x14ac:dyDescent="0.3">
      <c r="A8" s="1132"/>
      <c r="B8" s="1134"/>
      <c r="C8" s="1136"/>
      <c r="D8" s="1138"/>
      <c r="E8" s="1134"/>
      <c r="F8" s="9" t="s">
        <v>8</v>
      </c>
      <c r="G8" s="10" t="s">
        <v>9</v>
      </c>
      <c r="H8" s="11" t="s">
        <v>10</v>
      </c>
      <c r="I8" s="12" t="s">
        <v>11</v>
      </c>
      <c r="J8" s="12" t="s">
        <v>12</v>
      </c>
      <c r="K8" s="185" t="s">
        <v>13</v>
      </c>
      <c r="L8" s="12" t="s">
        <v>14</v>
      </c>
      <c r="M8" s="12" t="s">
        <v>15</v>
      </c>
      <c r="N8" s="12" t="s">
        <v>16</v>
      </c>
      <c r="P8" s="996" t="s">
        <v>901</v>
      </c>
    </row>
    <row r="9" spans="1:17" ht="15.95" customHeight="1" thickBot="1" x14ac:dyDescent="0.3">
      <c r="A9" s="389">
        <v>1</v>
      </c>
      <c r="B9" s="404" t="s">
        <v>17</v>
      </c>
      <c r="C9" s="431">
        <f>COUNT(1)</f>
        <v>1</v>
      </c>
      <c r="D9" s="847" t="s">
        <v>32</v>
      </c>
      <c r="E9" s="125">
        <v>9058886534</v>
      </c>
      <c r="F9" s="715" t="s">
        <v>706</v>
      </c>
      <c r="G9" s="717">
        <v>45937</v>
      </c>
      <c r="H9" s="407" t="s">
        <v>18</v>
      </c>
      <c r="I9" s="407" t="s">
        <v>19</v>
      </c>
      <c r="J9" s="407" t="s">
        <v>20</v>
      </c>
      <c r="K9" s="405">
        <v>1312109</v>
      </c>
      <c r="L9" s="423">
        <v>46913</v>
      </c>
      <c r="M9" s="338">
        <v>6</v>
      </c>
      <c r="N9" s="424" t="s">
        <v>21</v>
      </c>
      <c r="O9" s="191"/>
      <c r="P9" s="998" t="s">
        <v>886</v>
      </c>
    </row>
    <row r="10" spans="1:17" ht="15.95" customHeight="1" x14ac:dyDescent="0.25">
      <c r="A10" s="273"/>
      <c r="B10" s="294" t="s">
        <v>711</v>
      </c>
      <c r="C10" s="17">
        <v>2</v>
      </c>
      <c r="D10" s="1071" t="s">
        <v>46</v>
      </c>
      <c r="E10" s="406">
        <v>9355416780</v>
      </c>
      <c r="F10" s="723" t="s">
        <v>705</v>
      </c>
      <c r="G10" s="728">
        <v>47138</v>
      </c>
      <c r="H10" s="429" t="s">
        <v>23</v>
      </c>
      <c r="I10" s="16" t="s">
        <v>24</v>
      </c>
      <c r="J10" s="16" t="s">
        <v>25</v>
      </c>
      <c r="K10" s="17">
        <v>5559379</v>
      </c>
      <c r="L10" s="39">
        <v>46913</v>
      </c>
      <c r="M10" s="18"/>
      <c r="N10" s="425">
        <v>10</v>
      </c>
      <c r="O10" s="191"/>
      <c r="P10" s="998" t="s">
        <v>886</v>
      </c>
    </row>
    <row r="11" spans="1:17" ht="15.95" customHeight="1" thickBot="1" x14ac:dyDescent="0.3">
      <c r="A11" s="273"/>
      <c r="B11" s="295" t="s">
        <v>712</v>
      </c>
      <c r="C11" s="17">
        <v>3</v>
      </c>
      <c r="D11" s="847" t="s">
        <v>782</v>
      </c>
      <c r="E11" s="263">
        <v>9463560375</v>
      </c>
      <c r="F11" s="689" t="s">
        <v>783</v>
      </c>
      <c r="G11" s="1069">
        <v>46972</v>
      </c>
      <c r="H11" s="430">
        <v>46972</v>
      </c>
      <c r="I11" s="16" t="s">
        <v>24</v>
      </c>
      <c r="J11" s="16" t="s">
        <v>25</v>
      </c>
      <c r="K11" s="24">
        <v>5570805</v>
      </c>
      <c r="L11" s="203">
        <v>48723</v>
      </c>
      <c r="M11" s="25"/>
      <c r="N11" s="425">
        <v>10</v>
      </c>
      <c r="O11" s="192"/>
      <c r="P11" s="999" t="s">
        <v>886</v>
      </c>
    </row>
    <row r="12" spans="1:17" ht="15.95" customHeight="1" thickBot="1" x14ac:dyDescent="0.3">
      <c r="A12" s="273"/>
      <c r="B12" s="296"/>
      <c r="C12" s="433"/>
      <c r="D12" s="845"/>
      <c r="E12" s="413"/>
      <c r="F12" s="769"/>
      <c r="G12" s="726"/>
      <c r="H12" s="427" t="s">
        <v>27</v>
      </c>
      <c r="I12" s="415"/>
      <c r="J12" s="415"/>
      <c r="K12" s="416"/>
      <c r="L12" s="342"/>
      <c r="M12" s="343">
        <v>1</v>
      </c>
      <c r="N12" s="426"/>
      <c r="O12" s="192"/>
      <c r="P12" s="1000"/>
    </row>
    <row r="13" spans="1:17" ht="15.95" customHeight="1" thickBot="1" x14ac:dyDescent="0.3">
      <c r="A13" s="273"/>
      <c r="B13" s="27"/>
      <c r="C13" s="6"/>
      <c r="D13" s="1071"/>
      <c r="E13" s="406"/>
      <c r="F13" s="723"/>
      <c r="G13" s="728"/>
      <c r="H13" s="428"/>
      <c r="I13" s="42"/>
      <c r="J13" s="42"/>
      <c r="K13" s="418"/>
      <c r="L13" s="419"/>
      <c r="M13" s="420"/>
      <c r="N13" s="421"/>
      <c r="O13" s="192"/>
      <c r="P13" s="1000"/>
    </row>
    <row r="14" spans="1:17" ht="15.95" customHeight="1" x14ac:dyDescent="0.25">
      <c r="A14" s="388">
        <v>2</v>
      </c>
      <c r="B14" s="404" t="s">
        <v>28</v>
      </c>
      <c r="C14" s="405">
        <v>4</v>
      </c>
      <c r="D14" s="843" t="s">
        <v>29</v>
      </c>
      <c r="E14" s="299">
        <v>9942155929</v>
      </c>
      <c r="F14" s="723" t="s">
        <v>707</v>
      </c>
      <c r="G14" s="728">
        <v>45937</v>
      </c>
      <c r="H14" s="407" t="s">
        <v>18</v>
      </c>
      <c r="I14" s="407" t="s">
        <v>19</v>
      </c>
      <c r="J14" s="407" t="s">
        <v>20</v>
      </c>
      <c r="K14" s="408">
        <v>1428739</v>
      </c>
      <c r="L14" s="300">
        <v>48085</v>
      </c>
      <c r="M14" s="338">
        <v>8</v>
      </c>
      <c r="N14" s="409" t="s">
        <v>31</v>
      </c>
      <c r="O14" s="192"/>
      <c r="P14" s="1001" t="s">
        <v>887</v>
      </c>
    </row>
    <row r="15" spans="1:17" ht="15.95" customHeight="1" x14ac:dyDescent="0.25">
      <c r="A15" s="273"/>
      <c r="B15" s="295" t="s">
        <v>713</v>
      </c>
      <c r="C15" s="17">
        <v>5</v>
      </c>
      <c r="D15" s="31" t="s">
        <v>668</v>
      </c>
      <c r="E15" s="975">
        <v>9353254018</v>
      </c>
      <c r="F15" s="742" t="s">
        <v>669</v>
      </c>
      <c r="G15" s="1070">
        <v>47225</v>
      </c>
      <c r="H15" s="23" t="s">
        <v>26</v>
      </c>
      <c r="I15" s="16" t="s">
        <v>24</v>
      </c>
      <c r="J15" s="16" t="s">
        <v>25</v>
      </c>
      <c r="K15" s="24">
        <v>6551010</v>
      </c>
      <c r="L15" s="39">
        <v>48723</v>
      </c>
      <c r="M15" s="18">
        <v>7</v>
      </c>
      <c r="N15" s="410">
        <v>3</v>
      </c>
      <c r="O15" s="192"/>
      <c r="P15" s="998" t="s">
        <v>886</v>
      </c>
    </row>
    <row r="16" spans="1:17" ht="15.95" customHeight="1" thickBot="1" x14ac:dyDescent="0.3">
      <c r="A16" s="273"/>
      <c r="B16" s="411" t="s">
        <v>714</v>
      </c>
      <c r="C16" s="17">
        <v>6</v>
      </c>
      <c r="D16" s="848" t="s">
        <v>795</v>
      </c>
      <c r="E16" s="135">
        <v>9533474075</v>
      </c>
      <c r="F16" s="715" t="s">
        <v>705</v>
      </c>
      <c r="G16" s="717">
        <v>47138</v>
      </c>
      <c r="H16" s="23" t="s">
        <v>26</v>
      </c>
      <c r="I16" s="16" t="s">
        <v>19</v>
      </c>
      <c r="J16" s="16" t="s">
        <v>25</v>
      </c>
      <c r="K16" s="24" t="s">
        <v>33</v>
      </c>
      <c r="L16" s="39">
        <v>46913</v>
      </c>
      <c r="M16" s="18">
        <v>5</v>
      </c>
      <c r="N16" s="410">
        <v>3</v>
      </c>
      <c r="O16" s="192"/>
      <c r="P16" s="999" t="s">
        <v>886</v>
      </c>
    </row>
    <row r="17" spans="1:19" ht="15.95" customHeight="1" thickBot="1" x14ac:dyDescent="0.3">
      <c r="A17" s="273"/>
      <c r="B17" s="296" t="s">
        <v>296</v>
      </c>
      <c r="C17" s="412"/>
      <c r="D17" s="845"/>
      <c r="E17" s="413"/>
      <c r="F17" s="733"/>
      <c r="G17" s="729"/>
      <c r="H17" s="414" t="s">
        <v>27</v>
      </c>
      <c r="I17" s="415"/>
      <c r="J17" s="415"/>
      <c r="K17" s="416"/>
      <c r="L17" s="321"/>
      <c r="M17" s="322">
        <v>1</v>
      </c>
      <c r="N17" s="417"/>
      <c r="O17" s="192"/>
      <c r="P17" s="1000"/>
    </row>
    <row r="18" spans="1:19" ht="15.95" customHeight="1" thickBot="1" x14ac:dyDescent="0.3">
      <c r="A18" s="273"/>
      <c r="B18" s="27"/>
      <c r="C18" s="6"/>
      <c r="D18" s="846" t="s">
        <v>296</v>
      </c>
      <c r="E18" s="123"/>
      <c r="F18" s="734"/>
      <c r="G18" s="719"/>
      <c r="H18" s="26"/>
      <c r="I18" s="30"/>
      <c r="J18" s="30"/>
      <c r="K18" s="31"/>
      <c r="L18" s="8"/>
      <c r="M18" s="37"/>
      <c r="N18" s="38"/>
      <c r="O18" s="192"/>
      <c r="P18" s="1000"/>
      <c r="Q18" s="31"/>
      <c r="R18" s="742"/>
      <c r="S18" s="727"/>
    </row>
    <row r="19" spans="1:19" ht="15.95" customHeight="1" x14ac:dyDescent="0.25">
      <c r="A19" s="388">
        <v>3</v>
      </c>
      <c r="B19" s="434" t="s">
        <v>34</v>
      </c>
      <c r="C19" s="405">
        <v>7</v>
      </c>
      <c r="D19" s="847" t="s">
        <v>35</v>
      </c>
      <c r="E19" s="125">
        <v>9552962353</v>
      </c>
      <c r="F19" s="715" t="s">
        <v>646</v>
      </c>
      <c r="G19" s="912">
        <v>46979</v>
      </c>
      <c r="H19" s="407" t="s">
        <v>18</v>
      </c>
      <c r="I19" s="407" t="s">
        <v>19</v>
      </c>
      <c r="J19" s="407" t="s">
        <v>20</v>
      </c>
      <c r="K19" s="408">
        <v>1268727</v>
      </c>
      <c r="L19" s="300">
        <v>48723</v>
      </c>
      <c r="M19" s="338">
        <v>7</v>
      </c>
      <c r="N19" s="409" t="s">
        <v>36</v>
      </c>
      <c r="O19" s="192"/>
      <c r="P19" s="1002" t="s">
        <v>886</v>
      </c>
    </row>
    <row r="20" spans="1:19" ht="15.95" customHeight="1" thickBot="1" x14ac:dyDescent="0.3">
      <c r="A20" s="273"/>
      <c r="B20" s="435" t="s">
        <v>715</v>
      </c>
      <c r="C20" s="17">
        <v>8</v>
      </c>
      <c r="D20" s="847" t="s">
        <v>670</v>
      </c>
      <c r="E20" s="125">
        <v>9972591332</v>
      </c>
      <c r="F20" s="715" t="s">
        <v>432</v>
      </c>
      <c r="G20" s="717">
        <v>45765</v>
      </c>
      <c r="H20" s="41" t="s">
        <v>26</v>
      </c>
      <c r="I20" s="42" t="s">
        <v>19</v>
      </c>
      <c r="J20" s="43" t="s">
        <v>25</v>
      </c>
      <c r="K20" s="44">
        <v>983607</v>
      </c>
      <c r="L20" s="176">
        <v>47020</v>
      </c>
      <c r="M20" s="45">
        <v>10</v>
      </c>
      <c r="N20" s="436">
        <v>10</v>
      </c>
      <c r="O20" s="192"/>
      <c r="P20" s="999" t="s">
        <v>888</v>
      </c>
    </row>
    <row r="21" spans="1:19" ht="15.95" customHeight="1" thickBot="1" x14ac:dyDescent="0.3">
      <c r="A21" s="273"/>
      <c r="B21" s="437" t="s">
        <v>751</v>
      </c>
      <c r="C21" s="412"/>
      <c r="D21" s="845"/>
      <c r="E21" s="413"/>
      <c r="F21" s="769"/>
      <c r="G21" s="413"/>
      <c r="H21" s="414" t="s">
        <v>27</v>
      </c>
      <c r="I21" s="415"/>
      <c r="J21" s="415"/>
      <c r="K21" s="416"/>
      <c r="L21" s="321"/>
      <c r="M21" s="322">
        <v>1</v>
      </c>
      <c r="N21" s="417"/>
      <c r="O21" s="192"/>
      <c r="P21" s="1000"/>
    </row>
    <row r="22" spans="1:19" ht="15.95" customHeight="1" thickBot="1" x14ac:dyDescent="0.3">
      <c r="A22" s="273"/>
      <c r="B22" s="7"/>
      <c r="C22" s="6"/>
      <c r="D22" s="846"/>
      <c r="E22" s="123"/>
      <c r="F22" s="122"/>
      <c r="G22" s="123"/>
      <c r="H22" s="26"/>
      <c r="I22" s="30"/>
      <c r="J22" s="30"/>
      <c r="K22" s="31"/>
      <c r="L22" s="8"/>
      <c r="M22" s="37"/>
      <c r="N22" s="38"/>
      <c r="O22" s="192"/>
      <c r="P22" s="1000"/>
    </row>
    <row r="23" spans="1:19" ht="15.95" customHeight="1" x14ac:dyDescent="0.25">
      <c r="A23" s="388">
        <v>4</v>
      </c>
      <c r="B23" s="434" t="s">
        <v>38</v>
      </c>
      <c r="C23" s="405">
        <v>9</v>
      </c>
      <c r="D23" s="910" t="s">
        <v>914</v>
      </c>
      <c r="E23" s="432">
        <v>9974703634</v>
      </c>
      <c r="F23" s="768" t="s">
        <v>915</v>
      </c>
      <c r="G23" s="911">
        <v>47231</v>
      </c>
      <c r="H23" s="452" t="s">
        <v>18</v>
      </c>
      <c r="I23" s="453" t="s">
        <v>19</v>
      </c>
      <c r="J23" s="454" t="s">
        <v>20</v>
      </c>
      <c r="K23" s="455">
        <v>1073114</v>
      </c>
      <c r="L23" s="456">
        <v>47278</v>
      </c>
      <c r="M23" s="457">
        <v>10</v>
      </c>
      <c r="N23" s="458" t="s">
        <v>372</v>
      </c>
      <c r="O23" s="192"/>
      <c r="P23" s="1001" t="s">
        <v>889</v>
      </c>
    </row>
    <row r="24" spans="1:19" ht="15.95" customHeight="1" thickBot="1" x14ac:dyDescent="0.3">
      <c r="A24" s="274"/>
      <c r="B24" s="440" t="s">
        <v>717</v>
      </c>
      <c r="C24" s="17">
        <v>10</v>
      </c>
      <c r="D24" s="106" t="s">
        <v>651</v>
      </c>
      <c r="E24" s="125">
        <v>9678527628</v>
      </c>
      <c r="F24" s="126" t="s">
        <v>659</v>
      </c>
      <c r="G24" s="717">
        <v>45793</v>
      </c>
      <c r="H24" s="23" t="s">
        <v>26</v>
      </c>
      <c r="I24" s="16" t="s">
        <v>43</v>
      </c>
      <c r="J24" s="16" t="s">
        <v>25</v>
      </c>
      <c r="K24" s="24" t="s">
        <v>44</v>
      </c>
      <c r="L24" s="39" t="s">
        <v>936</v>
      </c>
      <c r="M24" s="18">
        <v>4</v>
      </c>
      <c r="N24" s="410">
        <v>6</v>
      </c>
      <c r="O24" s="192"/>
      <c r="P24" s="999" t="s">
        <v>890</v>
      </c>
    </row>
    <row r="25" spans="1:19" ht="15.95" customHeight="1" thickBot="1" x14ac:dyDescent="0.3">
      <c r="A25" s="275"/>
      <c r="B25" s="296" t="s">
        <v>718</v>
      </c>
      <c r="C25" s="412"/>
      <c r="D25" s="849"/>
      <c r="E25" s="315"/>
      <c r="F25" s="771"/>
      <c r="G25" s="722"/>
      <c r="H25" s="442" t="s">
        <v>27</v>
      </c>
      <c r="I25" s="443"/>
      <c r="J25" s="415"/>
      <c r="K25" s="416"/>
      <c r="L25" s="321"/>
      <c r="M25" s="322">
        <v>1</v>
      </c>
      <c r="N25" s="417"/>
      <c r="O25" s="192"/>
      <c r="P25" s="1000"/>
    </row>
    <row r="26" spans="1:19" ht="15.95" customHeight="1" thickBot="1" x14ac:dyDescent="0.3">
      <c r="A26" s="275"/>
      <c r="B26" s="7"/>
      <c r="C26" s="6"/>
      <c r="D26" s="853"/>
      <c r="E26" s="123"/>
      <c r="F26" s="122"/>
      <c r="G26" s="719"/>
      <c r="H26" s="26"/>
      <c r="I26" s="30"/>
      <c r="J26" s="30"/>
      <c r="K26" s="31"/>
      <c r="L26" s="8"/>
      <c r="M26" s="37"/>
      <c r="N26" s="449"/>
      <c r="O26" s="192"/>
      <c r="P26" s="1000"/>
    </row>
    <row r="27" spans="1:19" s="51" customFormat="1" ht="15.95" customHeight="1" thickBot="1" x14ac:dyDescent="0.25">
      <c r="A27" s="448">
        <v>5</v>
      </c>
      <c r="B27" s="450" t="s">
        <v>45</v>
      </c>
      <c r="C27" s="405">
        <v>11</v>
      </c>
      <c r="D27" s="1078" t="s">
        <v>955</v>
      </c>
      <c r="E27" s="451"/>
      <c r="F27" s="822"/>
      <c r="G27" s="728"/>
      <c r="H27" s="452" t="s">
        <v>18</v>
      </c>
      <c r="I27" s="453" t="s">
        <v>19</v>
      </c>
      <c r="J27" s="454" t="s">
        <v>20</v>
      </c>
      <c r="K27" s="1104">
        <v>1545027</v>
      </c>
      <c r="L27" s="456">
        <v>46081</v>
      </c>
      <c r="M27" s="457">
        <v>6</v>
      </c>
      <c r="N27" s="458" t="s">
        <v>47</v>
      </c>
      <c r="O27" s="193"/>
      <c r="P27" s="1003" t="s">
        <v>891</v>
      </c>
    </row>
    <row r="28" spans="1:19" s="51" customFormat="1" ht="15.95" customHeight="1" x14ac:dyDescent="0.2">
      <c r="A28" s="279"/>
      <c r="B28" s="459" t="s">
        <v>716</v>
      </c>
      <c r="C28" s="17"/>
      <c r="D28" s="850"/>
      <c r="E28" s="219"/>
      <c r="F28" s="735"/>
      <c r="G28" s="731"/>
      <c r="H28" s="255"/>
      <c r="I28" s="255"/>
      <c r="J28" s="256"/>
      <c r="K28" s="257"/>
      <c r="L28" s="258"/>
      <c r="M28" s="254"/>
      <c r="N28" s="460"/>
      <c r="O28" s="193"/>
      <c r="P28" s="1000"/>
    </row>
    <row r="29" spans="1:19" s="51" customFormat="1" ht="15.95" customHeight="1" thickBot="1" x14ac:dyDescent="0.25">
      <c r="A29" s="277"/>
      <c r="B29" s="461" t="s">
        <v>752</v>
      </c>
      <c r="C29" s="412"/>
      <c r="D29" s="845"/>
      <c r="E29" s="413"/>
      <c r="F29" s="733"/>
      <c r="G29" s="729"/>
      <c r="H29" s="462"/>
      <c r="I29" s="462"/>
      <c r="J29" s="463"/>
      <c r="K29" s="464"/>
      <c r="L29" s="465"/>
      <c r="M29" s="466"/>
      <c r="N29" s="467"/>
      <c r="O29" s="193"/>
      <c r="P29" s="1000"/>
      <c r="Q29" s="123"/>
      <c r="R29" s="719"/>
    </row>
    <row r="30" spans="1:19" s="51" customFormat="1" ht="15.95" customHeight="1" thickBot="1" x14ac:dyDescent="0.25">
      <c r="A30" s="278"/>
      <c r="B30" s="447"/>
      <c r="C30" s="6"/>
      <c r="D30" s="846"/>
      <c r="E30" s="123"/>
      <c r="F30" s="734"/>
      <c r="G30" s="719"/>
      <c r="H30" s="132"/>
      <c r="I30" s="132"/>
      <c r="J30" s="444"/>
      <c r="K30" s="280"/>
      <c r="L30" s="445"/>
      <c r="M30" s="446"/>
      <c r="N30" s="283"/>
      <c r="O30" s="193"/>
      <c r="P30" s="1000"/>
    </row>
    <row r="31" spans="1:19" s="51" customFormat="1" ht="20.25" customHeight="1" thickBot="1" x14ac:dyDescent="0.25">
      <c r="A31" s="390">
        <v>6</v>
      </c>
      <c r="B31" s="468" t="s">
        <v>48</v>
      </c>
      <c r="C31" s="405">
        <v>12</v>
      </c>
      <c r="D31" s="847" t="s">
        <v>1004</v>
      </c>
      <c r="E31" s="125"/>
      <c r="F31" s="715"/>
      <c r="G31" s="720"/>
      <c r="H31" s="452" t="s">
        <v>18</v>
      </c>
      <c r="I31" s="453" t="s">
        <v>19</v>
      </c>
      <c r="J31" s="454" t="s">
        <v>20</v>
      </c>
      <c r="K31" s="455" t="s">
        <v>834</v>
      </c>
      <c r="L31" s="469">
        <v>46776</v>
      </c>
      <c r="M31" s="470">
        <v>5</v>
      </c>
      <c r="N31" s="471" t="s">
        <v>47</v>
      </c>
      <c r="O31" s="193"/>
      <c r="P31" s="1003" t="s">
        <v>891</v>
      </c>
    </row>
    <row r="32" spans="1:19" s="51" customFormat="1" ht="15.95" customHeight="1" x14ac:dyDescent="0.2">
      <c r="A32" s="279"/>
      <c r="B32" s="472" t="s">
        <v>719</v>
      </c>
      <c r="C32" s="17"/>
      <c r="D32" s="850"/>
      <c r="E32" s="219"/>
      <c r="F32" s="823"/>
      <c r="G32" s="731"/>
      <c r="H32" s="255"/>
      <c r="I32" s="255"/>
      <c r="J32" s="255"/>
      <c r="K32" s="257"/>
      <c r="L32" s="159"/>
      <c r="M32" s="260"/>
      <c r="N32" s="473"/>
      <c r="O32" s="193"/>
      <c r="P32" s="1000"/>
    </row>
    <row r="33" spans="1:16" s="51" customFormat="1" ht="15.95" customHeight="1" thickBot="1" x14ac:dyDescent="0.25">
      <c r="A33" s="278"/>
      <c r="B33" s="474" t="s">
        <v>753</v>
      </c>
      <c r="C33" s="412"/>
      <c r="D33" s="845"/>
      <c r="E33" s="413"/>
      <c r="F33" s="769"/>
      <c r="G33" s="729"/>
      <c r="H33" s="462"/>
      <c r="I33" s="462"/>
      <c r="J33" s="462"/>
      <c r="K33" s="464"/>
      <c r="L33" s="475"/>
      <c r="M33" s="476"/>
      <c r="N33" s="477"/>
      <c r="O33" s="193"/>
      <c r="P33" s="1000"/>
    </row>
    <row r="34" spans="1:16" s="51" customFormat="1" ht="15.95" customHeight="1" thickBot="1" x14ac:dyDescent="0.25">
      <c r="A34" s="276"/>
      <c r="B34" s="129"/>
      <c r="C34" s="6"/>
      <c r="D34" s="906"/>
      <c r="E34" s="907"/>
      <c r="F34" s="908"/>
      <c r="G34" s="909"/>
      <c r="H34" s="132"/>
      <c r="I34" s="132"/>
      <c r="J34" s="132"/>
      <c r="K34" s="280"/>
      <c r="L34" s="281"/>
      <c r="M34" s="282"/>
      <c r="N34" s="132"/>
      <c r="O34" s="193"/>
      <c r="P34" s="1000"/>
    </row>
    <row r="35" spans="1:16" s="51" customFormat="1" ht="15.95" customHeight="1" thickBot="1" x14ac:dyDescent="0.25">
      <c r="A35" s="478">
        <v>7</v>
      </c>
      <c r="B35" s="468" t="s">
        <v>49</v>
      </c>
      <c r="C35" s="405">
        <v>13</v>
      </c>
      <c r="D35" s="903" t="s">
        <v>41</v>
      </c>
      <c r="E35" s="127" t="s">
        <v>42</v>
      </c>
      <c r="F35" s="904" t="s">
        <v>708</v>
      </c>
      <c r="G35" s="905">
        <v>47149</v>
      </c>
      <c r="H35" s="452" t="s">
        <v>18</v>
      </c>
      <c r="I35" s="453" t="s">
        <v>19</v>
      </c>
      <c r="J35" s="454" t="s">
        <v>20</v>
      </c>
      <c r="K35" s="455">
        <v>1428734</v>
      </c>
      <c r="L35" s="469">
        <v>48085</v>
      </c>
      <c r="M35" s="470">
        <v>10</v>
      </c>
      <c r="N35" s="471" t="s">
        <v>372</v>
      </c>
      <c r="O35" s="193"/>
      <c r="P35" s="1003" t="s">
        <v>892</v>
      </c>
    </row>
    <row r="36" spans="1:16" s="51" customFormat="1" ht="15.95" customHeight="1" thickBot="1" x14ac:dyDescent="0.25">
      <c r="A36" s="279"/>
      <c r="B36" s="479" t="s">
        <v>722</v>
      </c>
      <c r="C36" s="412"/>
      <c r="D36" s="851"/>
      <c r="E36" s="481"/>
      <c r="F36" s="772"/>
      <c r="G36" s="721"/>
      <c r="H36" s="482"/>
      <c r="I36" s="482"/>
      <c r="J36" s="482"/>
      <c r="K36" s="483"/>
      <c r="L36" s="484"/>
      <c r="M36" s="485"/>
      <c r="N36" s="486"/>
      <c r="O36" s="193"/>
      <c r="P36" s="1000"/>
    </row>
    <row r="37" spans="1:16" s="51" customFormat="1" ht="15.95" customHeight="1" thickBot="1" x14ac:dyDescent="0.25">
      <c r="A37" s="278"/>
      <c r="B37" s="129"/>
      <c r="C37" s="6"/>
      <c r="D37" s="846"/>
      <c r="E37" s="123"/>
      <c r="F37" s="122"/>
      <c r="G37" s="719"/>
      <c r="H37" s="132"/>
      <c r="I37" s="132"/>
      <c r="J37" s="132"/>
      <c r="K37" s="280"/>
      <c r="L37" s="281"/>
      <c r="M37" s="282"/>
      <c r="N37" s="283"/>
      <c r="O37" s="193"/>
      <c r="P37" s="1000"/>
    </row>
    <row r="38" spans="1:16" s="51" customFormat="1" ht="15.95" customHeight="1" thickBot="1" x14ac:dyDescent="0.25">
      <c r="A38" s="489">
        <v>8</v>
      </c>
      <c r="B38" s="490" t="s">
        <v>786</v>
      </c>
      <c r="C38" s="383">
        <v>14</v>
      </c>
      <c r="D38" s="852" t="s">
        <v>907</v>
      </c>
      <c r="E38" s="491">
        <v>9461231519</v>
      </c>
      <c r="F38" s="816" t="s">
        <v>908</v>
      </c>
      <c r="G38" s="764">
        <v>47505</v>
      </c>
      <c r="H38" s="492" t="s">
        <v>72</v>
      </c>
      <c r="I38" s="492" t="s">
        <v>231</v>
      </c>
      <c r="J38" s="492" t="s">
        <v>20</v>
      </c>
      <c r="K38" s="493" t="s">
        <v>787</v>
      </c>
      <c r="L38" s="494">
        <v>47309</v>
      </c>
      <c r="M38" s="495"/>
      <c r="N38" s="496" t="s">
        <v>47</v>
      </c>
      <c r="O38" s="193"/>
      <c r="P38" s="1003" t="s">
        <v>890</v>
      </c>
    </row>
    <row r="39" spans="1:16" s="51" customFormat="1" ht="15.95" customHeight="1" thickBot="1" x14ac:dyDescent="0.25">
      <c r="A39" s="489"/>
      <c r="B39" s="488"/>
      <c r="C39" s="6"/>
      <c r="D39" s="280"/>
      <c r="E39" s="128"/>
      <c r="F39" s="817"/>
      <c r="G39" s="719"/>
      <c r="H39" s="1008" t="s">
        <v>548</v>
      </c>
      <c r="I39" s="1009"/>
      <c r="J39" s="492"/>
      <c r="K39" s="493"/>
      <c r="L39" s="1010"/>
      <c r="M39" s="1011">
        <v>1</v>
      </c>
      <c r="N39" s="1012">
        <v>1</v>
      </c>
      <c r="O39" s="193"/>
      <c r="P39" s="1000"/>
    </row>
    <row r="40" spans="1:16" s="51" customFormat="1" ht="15.95" customHeight="1" thickBot="1" x14ac:dyDescent="0.25">
      <c r="A40" s="487"/>
      <c r="B40" s="488"/>
      <c r="C40" s="6"/>
      <c r="D40" s="280"/>
      <c r="E40" s="128"/>
      <c r="F40" s="817"/>
      <c r="G40" s="719"/>
      <c r="H40" s="132"/>
      <c r="I40" s="132"/>
      <c r="J40" s="132"/>
      <c r="K40" s="280"/>
      <c r="L40" s="281"/>
      <c r="M40" s="282"/>
      <c r="N40" s="283"/>
      <c r="O40" s="193"/>
      <c r="P40" s="1000"/>
    </row>
    <row r="41" spans="1:16" s="51" customFormat="1" ht="15.95" customHeight="1" thickBot="1" x14ac:dyDescent="0.25">
      <c r="A41" s="498">
        <v>9</v>
      </c>
      <c r="B41" s="499" t="s">
        <v>51</v>
      </c>
      <c r="C41" s="405">
        <v>15</v>
      </c>
      <c r="D41" s="853" t="s">
        <v>1006</v>
      </c>
      <c r="E41" s="337"/>
      <c r="F41" s="778" t="s">
        <v>1001</v>
      </c>
      <c r="G41" s="723" t="s">
        <v>1002</v>
      </c>
      <c r="H41" s="452" t="s">
        <v>39</v>
      </c>
      <c r="I41" s="453" t="s">
        <v>19</v>
      </c>
      <c r="J41" s="452" t="s">
        <v>40</v>
      </c>
      <c r="K41" s="455">
        <v>316597</v>
      </c>
      <c r="L41" s="456">
        <v>46906</v>
      </c>
      <c r="M41" s="457">
        <v>10</v>
      </c>
      <c r="N41" s="500">
        <v>10</v>
      </c>
      <c r="O41" s="193"/>
      <c r="P41" s="1003" t="s">
        <v>890</v>
      </c>
    </row>
    <row r="42" spans="1:16" s="51" customFormat="1" ht="15.95" customHeight="1" x14ac:dyDescent="0.2">
      <c r="A42" s="277"/>
      <c r="B42" s="501" t="s">
        <v>720</v>
      </c>
      <c r="C42" s="17"/>
      <c r="D42" s="850"/>
      <c r="E42" s="219"/>
      <c r="F42" s="731"/>
      <c r="G42" s="732"/>
      <c r="H42" s="52" t="s">
        <v>548</v>
      </c>
      <c r="I42" s="52"/>
      <c r="J42" s="49"/>
      <c r="K42" s="53"/>
      <c r="L42" s="204"/>
      <c r="M42" s="54">
        <v>1</v>
      </c>
      <c r="N42" s="502">
        <v>1</v>
      </c>
      <c r="O42" s="193"/>
      <c r="P42" s="1000"/>
    </row>
    <row r="43" spans="1:16" s="51" customFormat="1" ht="15.95" customHeight="1" thickBot="1" x14ac:dyDescent="0.25">
      <c r="A43" s="277"/>
      <c r="B43" s="503" t="s">
        <v>721</v>
      </c>
      <c r="C43" s="412"/>
      <c r="D43" s="845"/>
      <c r="E43" s="413"/>
      <c r="F43" s="729"/>
      <c r="G43" s="733"/>
      <c r="H43" s="482"/>
      <c r="I43" s="482"/>
      <c r="J43" s="482"/>
      <c r="K43" s="483"/>
      <c r="L43" s="504"/>
      <c r="M43" s="505"/>
      <c r="N43" s="506"/>
      <c r="O43" s="193"/>
      <c r="P43" s="1000"/>
    </row>
    <row r="44" spans="1:16" s="51" customFormat="1" ht="15.95" customHeight="1" thickBot="1" x14ac:dyDescent="0.25">
      <c r="A44" s="278"/>
      <c r="B44" s="402"/>
      <c r="C44" s="6"/>
      <c r="D44" s="846"/>
      <c r="E44" s="123"/>
      <c r="F44" s="719"/>
      <c r="G44" s="734"/>
      <c r="H44" s="132"/>
      <c r="I44" s="132"/>
      <c r="J44" s="132"/>
      <c r="K44" s="280"/>
      <c r="L44" s="445"/>
      <c r="M44" s="446"/>
      <c r="N44" s="444"/>
      <c r="O44" s="193"/>
      <c r="P44" s="1000"/>
    </row>
    <row r="45" spans="1:16" s="51" customFormat="1" ht="15.95" customHeight="1" thickBot="1" x14ac:dyDescent="0.25">
      <c r="A45" s="497">
        <v>10</v>
      </c>
      <c r="B45" s="507" t="s">
        <v>54</v>
      </c>
      <c r="C45" s="405">
        <v>16</v>
      </c>
      <c r="D45" s="843" t="s">
        <v>867</v>
      </c>
      <c r="E45" s="299">
        <v>9678367141</v>
      </c>
      <c r="F45" s="773" t="s">
        <v>868</v>
      </c>
      <c r="G45" s="730">
        <v>47430</v>
      </c>
      <c r="H45" s="452" t="s">
        <v>39</v>
      </c>
      <c r="I45" s="453" t="s">
        <v>19</v>
      </c>
      <c r="J45" s="452" t="s">
        <v>40</v>
      </c>
      <c r="K45" s="508">
        <v>1269653</v>
      </c>
      <c r="L45" s="456">
        <v>48624</v>
      </c>
      <c r="M45" s="457">
        <v>5</v>
      </c>
      <c r="N45" s="500">
        <v>5</v>
      </c>
      <c r="O45" s="194"/>
      <c r="P45" s="1003" t="s">
        <v>893</v>
      </c>
    </row>
    <row r="46" spans="1:16" s="51" customFormat="1" ht="15.95" customHeight="1" x14ac:dyDescent="0.2">
      <c r="A46" s="257"/>
      <c r="B46" s="501" t="s">
        <v>723</v>
      </c>
      <c r="C46" s="17"/>
      <c r="D46" s="257"/>
      <c r="E46" s="261"/>
      <c r="F46" s="818"/>
      <c r="G46" s="765"/>
      <c r="H46" s="49"/>
      <c r="I46" s="52"/>
      <c r="J46" s="49"/>
      <c r="K46" s="48"/>
      <c r="L46" s="204"/>
      <c r="M46" s="54"/>
      <c r="N46" s="502"/>
      <c r="O46" s="194"/>
      <c r="P46" s="1000"/>
    </row>
    <row r="47" spans="1:16" s="51" customFormat="1" ht="15.95" customHeight="1" thickBot="1" x14ac:dyDescent="0.25">
      <c r="A47" s="401"/>
      <c r="B47" s="503" t="s">
        <v>754</v>
      </c>
      <c r="C47" s="412"/>
      <c r="D47" s="464"/>
      <c r="E47" s="510"/>
      <c r="F47" s="819"/>
      <c r="G47" s="729"/>
      <c r="H47" s="511"/>
      <c r="I47" s="512"/>
      <c r="J47" s="511"/>
      <c r="K47" s="513"/>
      <c r="L47" s="514"/>
      <c r="M47" s="515"/>
      <c r="N47" s="516"/>
      <c r="O47" s="194"/>
      <c r="P47" s="1000"/>
    </row>
    <row r="48" spans="1:16" s="51" customFormat="1" ht="15.95" customHeight="1" thickBot="1" x14ac:dyDescent="0.25">
      <c r="A48" s="401"/>
      <c r="B48" s="402"/>
      <c r="C48" s="6"/>
      <c r="D48" s="280"/>
      <c r="E48" s="128"/>
      <c r="F48" s="817"/>
      <c r="G48" s="719"/>
      <c r="H48" s="132"/>
      <c r="I48" s="132"/>
      <c r="J48" s="132"/>
      <c r="K48" s="284"/>
      <c r="L48" s="445"/>
      <c r="M48" s="446"/>
      <c r="N48" s="444"/>
      <c r="O48" s="194"/>
      <c r="P48" s="1000"/>
    </row>
    <row r="49" spans="1:16" s="51" customFormat="1" ht="15.95" customHeight="1" thickBot="1" x14ac:dyDescent="0.25">
      <c r="A49" s="498">
        <v>11</v>
      </c>
      <c r="B49" s="468" t="s">
        <v>55</v>
      </c>
      <c r="C49" s="405">
        <v>17</v>
      </c>
      <c r="D49" s="854" t="s">
        <v>106</v>
      </c>
      <c r="E49" s="299">
        <v>9161681317</v>
      </c>
      <c r="F49" s="774" t="s">
        <v>709</v>
      </c>
      <c r="G49" s="714">
        <v>47252</v>
      </c>
      <c r="H49" s="452" t="s">
        <v>39</v>
      </c>
      <c r="I49" s="453" t="s">
        <v>19</v>
      </c>
      <c r="J49" s="977" t="s">
        <v>40</v>
      </c>
      <c r="K49" s="508">
        <v>107973</v>
      </c>
      <c r="L49" s="469">
        <v>47346</v>
      </c>
      <c r="M49" s="470">
        <v>5</v>
      </c>
      <c r="N49" s="471">
        <v>5</v>
      </c>
      <c r="O49" s="194"/>
      <c r="P49" s="1004" t="s">
        <v>894</v>
      </c>
    </row>
    <row r="50" spans="1:16" s="51" customFormat="1" ht="15.95" customHeight="1" x14ac:dyDescent="0.2">
      <c r="A50" s="253"/>
      <c r="B50" s="472" t="s">
        <v>724</v>
      </c>
      <c r="C50" s="17"/>
      <c r="D50" s="855"/>
      <c r="E50" s="219"/>
      <c r="F50" s="735"/>
      <c r="G50" s="735"/>
      <c r="H50" s="255"/>
      <c r="I50" s="255"/>
      <c r="J50" s="255"/>
      <c r="K50" s="259"/>
      <c r="L50" s="159"/>
      <c r="M50" s="260"/>
      <c r="N50" s="473"/>
      <c r="O50" s="194"/>
      <c r="P50" s="1000"/>
    </row>
    <row r="51" spans="1:16" s="51" customFormat="1" ht="15.95" customHeight="1" thickBot="1" x14ac:dyDescent="0.25">
      <c r="A51" s="517"/>
      <c r="B51" s="474" t="s">
        <v>725</v>
      </c>
      <c r="C51" s="412"/>
      <c r="D51" s="856"/>
      <c r="E51" s="413"/>
      <c r="F51" s="733"/>
      <c r="G51" s="733"/>
      <c r="H51" s="462"/>
      <c r="I51" s="462"/>
      <c r="J51" s="462"/>
      <c r="K51" s="509"/>
      <c r="L51" s="475"/>
      <c r="M51" s="476"/>
      <c r="N51" s="477"/>
      <c r="O51" s="194"/>
      <c r="P51" s="1000"/>
    </row>
    <row r="52" spans="1:16" s="51" customFormat="1" ht="15.95" customHeight="1" thickBot="1" x14ac:dyDescent="0.25">
      <c r="A52" s="284"/>
      <c r="B52" s="129"/>
      <c r="C52" s="6"/>
      <c r="D52" s="921"/>
      <c r="E52" s="907"/>
      <c r="F52" s="922"/>
      <c r="G52" s="922"/>
      <c r="H52" s="132"/>
      <c r="I52" s="132"/>
      <c r="J52" s="132"/>
      <c r="K52" s="284"/>
      <c r="L52" s="281"/>
      <c r="M52" s="282"/>
      <c r="N52" s="132"/>
      <c r="O52" s="194"/>
      <c r="P52" s="1000"/>
    </row>
    <row r="53" spans="1:16" s="51" customFormat="1" ht="15.95" customHeight="1" thickBot="1" x14ac:dyDescent="0.25">
      <c r="A53" s="518">
        <v>12</v>
      </c>
      <c r="B53" s="468" t="s">
        <v>839</v>
      </c>
      <c r="C53" s="405">
        <v>18</v>
      </c>
      <c r="D53" s="105" t="s">
        <v>817</v>
      </c>
      <c r="E53" s="127">
        <v>9073350430</v>
      </c>
      <c r="F53" s="172" t="s">
        <v>874</v>
      </c>
      <c r="G53" s="920">
        <v>47219</v>
      </c>
      <c r="H53" s="519" t="s">
        <v>18</v>
      </c>
      <c r="I53" s="520" t="s">
        <v>19</v>
      </c>
      <c r="J53" s="521" t="s">
        <v>20</v>
      </c>
      <c r="K53" s="522" t="s">
        <v>805</v>
      </c>
      <c r="L53" s="523">
        <v>46776</v>
      </c>
      <c r="M53" s="524">
        <v>8</v>
      </c>
      <c r="N53" s="525" t="s">
        <v>57</v>
      </c>
      <c r="O53" s="194"/>
      <c r="P53" s="1003" t="s">
        <v>891</v>
      </c>
    </row>
    <row r="54" spans="1:16" s="51" customFormat="1" ht="15.95" customHeight="1" x14ac:dyDescent="0.2">
      <c r="A54" s="253"/>
      <c r="B54" s="472" t="s">
        <v>840</v>
      </c>
      <c r="C54" s="17"/>
      <c r="D54" s="858"/>
      <c r="E54" s="128"/>
      <c r="F54" s="812"/>
      <c r="G54" s="731"/>
      <c r="H54" s="683"/>
      <c r="I54" s="255"/>
      <c r="J54" s="256"/>
      <c r="K54" s="262"/>
      <c r="L54" s="159"/>
      <c r="M54" s="260"/>
      <c r="N54" s="473"/>
      <c r="O54" s="194"/>
      <c r="P54" s="1000"/>
    </row>
    <row r="55" spans="1:16" s="51" customFormat="1" ht="15.95" customHeight="1" thickBot="1" x14ac:dyDescent="0.25">
      <c r="A55" s="517"/>
      <c r="B55" s="474" t="s">
        <v>841</v>
      </c>
      <c r="C55" s="412"/>
      <c r="D55" s="859"/>
      <c r="E55" s="510"/>
      <c r="F55" s="821"/>
      <c r="G55" s="729"/>
      <c r="H55" s="462"/>
      <c r="I55" s="462"/>
      <c r="J55" s="463"/>
      <c r="K55" s="526"/>
      <c r="L55" s="475"/>
      <c r="M55" s="476"/>
      <c r="N55" s="477"/>
      <c r="O55" s="194"/>
      <c r="P55" s="1000"/>
    </row>
    <row r="56" spans="1:16" s="51" customFormat="1" ht="15.95" customHeight="1" thickBot="1" x14ac:dyDescent="0.25">
      <c r="A56" s="284"/>
      <c r="B56" s="129"/>
      <c r="C56" s="919"/>
      <c r="D56" s="860"/>
      <c r="E56" s="128"/>
      <c r="F56" s="727"/>
      <c r="G56" s="719"/>
      <c r="H56" s="132"/>
      <c r="I56" s="132"/>
      <c r="J56" s="444"/>
      <c r="K56" s="403"/>
      <c r="L56" s="281"/>
      <c r="M56" s="282"/>
      <c r="N56" s="132"/>
      <c r="O56" s="194"/>
      <c r="P56" s="1000"/>
    </row>
    <row r="57" spans="1:16" s="51" customFormat="1" ht="15.95" customHeight="1" thickBot="1" x14ac:dyDescent="0.25">
      <c r="A57" s="518">
        <v>13</v>
      </c>
      <c r="B57" s="468" t="s">
        <v>56</v>
      </c>
      <c r="C57" s="405">
        <v>19</v>
      </c>
      <c r="D57" s="843" t="s">
        <v>913</v>
      </c>
      <c r="E57" s="299">
        <v>9940107658</v>
      </c>
      <c r="F57" s="820"/>
      <c r="G57" s="766"/>
      <c r="H57" s="519" t="s">
        <v>18</v>
      </c>
      <c r="I57" s="520" t="s">
        <v>19</v>
      </c>
      <c r="J57" s="521" t="s">
        <v>20</v>
      </c>
      <c r="K57" s="522">
        <v>1071798</v>
      </c>
      <c r="L57" s="523">
        <v>46975</v>
      </c>
      <c r="M57" s="524">
        <v>9</v>
      </c>
      <c r="N57" s="525" t="s">
        <v>57</v>
      </c>
      <c r="O57" s="194"/>
      <c r="P57" s="1003" t="s">
        <v>886</v>
      </c>
    </row>
    <row r="58" spans="1:16" s="51" customFormat="1" ht="15.95" customHeight="1" x14ac:dyDescent="0.2">
      <c r="A58" s="253"/>
      <c r="B58" s="472" t="s">
        <v>726</v>
      </c>
      <c r="C58" s="17"/>
      <c r="D58" s="858"/>
      <c r="E58" s="128"/>
      <c r="F58" s="812"/>
      <c r="G58" s="731"/>
      <c r="H58" s="683"/>
      <c r="I58" s="255"/>
      <c r="J58" s="256"/>
      <c r="K58" s="262"/>
      <c r="L58" s="159"/>
      <c r="M58" s="260"/>
      <c r="N58" s="473"/>
      <c r="O58" s="194"/>
      <c r="P58" s="1000"/>
    </row>
    <row r="59" spans="1:16" s="51" customFormat="1" ht="15.95" customHeight="1" thickBot="1" x14ac:dyDescent="0.25">
      <c r="A59" s="181"/>
      <c r="B59" s="474" t="s">
        <v>755</v>
      </c>
      <c r="C59" s="412"/>
      <c r="D59" s="859"/>
      <c r="E59" s="510"/>
      <c r="F59" s="821"/>
      <c r="G59" s="729"/>
      <c r="H59" s="462"/>
      <c r="I59" s="462"/>
      <c r="J59" s="463"/>
      <c r="K59" s="526"/>
      <c r="L59" s="475"/>
      <c r="M59" s="476"/>
      <c r="N59" s="477"/>
      <c r="O59" s="194"/>
      <c r="P59" s="1000"/>
    </row>
    <row r="60" spans="1:16" s="51" customFormat="1" ht="15.95" customHeight="1" thickBot="1" x14ac:dyDescent="0.25">
      <c r="A60" s="517"/>
      <c r="B60" s="129"/>
      <c r="C60" s="6"/>
      <c r="D60" s="860"/>
      <c r="E60" s="128"/>
      <c r="F60" s="727"/>
      <c r="G60" s="719"/>
      <c r="H60" s="132"/>
      <c r="I60" s="132"/>
      <c r="J60" s="444"/>
      <c r="K60" s="403"/>
      <c r="L60" s="281"/>
      <c r="M60" s="282"/>
      <c r="N60" s="132"/>
      <c r="O60" s="194"/>
      <c r="P60" s="1000"/>
    </row>
    <row r="61" spans="1:16" ht="15.95" customHeight="1" thickBot="1" x14ac:dyDescent="0.3">
      <c r="A61" s="518">
        <v>14</v>
      </c>
      <c r="B61" s="507" t="s">
        <v>543</v>
      </c>
      <c r="C61" s="405">
        <v>20</v>
      </c>
      <c r="D61" s="847" t="s">
        <v>838</v>
      </c>
      <c r="E61" s="13"/>
      <c r="F61" s="718" t="s">
        <v>953</v>
      </c>
      <c r="G61" s="718">
        <v>47240</v>
      </c>
      <c r="H61" s="452" t="s">
        <v>39</v>
      </c>
      <c r="I61" s="407" t="s">
        <v>19</v>
      </c>
      <c r="J61" s="528" t="s">
        <v>103</v>
      </c>
      <c r="K61" s="298">
        <v>1096993</v>
      </c>
      <c r="L61" s="300">
        <v>48717</v>
      </c>
      <c r="M61" s="338">
        <v>5</v>
      </c>
      <c r="N61" s="529">
        <v>5</v>
      </c>
      <c r="P61" s="1003" t="s">
        <v>890</v>
      </c>
    </row>
    <row r="62" spans="1:16" ht="15.95" customHeight="1" x14ac:dyDescent="0.25">
      <c r="A62" s="85"/>
      <c r="B62" s="530" t="s">
        <v>727</v>
      </c>
      <c r="C62" s="17"/>
      <c r="D62" s="850"/>
      <c r="E62" s="219"/>
      <c r="F62" s="775"/>
      <c r="G62" s="732"/>
      <c r="H62" s="52" t="s">
        <v>548</v>
      </c>
      <c r="I62" s="16"/>
      <c r="J62" s="180"/>
      <c r="K62" s="19"/>
      <c r="L62" s="39"/>
      <c r="M62" s="18">
        <v>1</v>
      </c>
      <c r="N62" s="531">
        <v>1</v>
      </c>
      <c r="P62" s="1000"/>
    </row>
    <row r="63" spans="1:16" ht="15.95" customHeight="1" thickBot="1" x14ac:dyDescent="0.3">
      <c r="A63" s="6"/>
      <c r="B63" s="503" t="s">
        <v>728</v>
      </c>
      <c r="C63" s="412"/>
      <c r="D63" s="845"/>
      <c r="E63" s="413"/>
      <c r="F63" s="776"/>
      <c r="G63" s="733"/>
      <c r="H63" s="482"/>
      <c r="I63" s="532"/>
      <c r="J63" s="533"/>
      <c r="K63" s="480"/>
      <c r="L63" s="534"/>
      <c r="M63" s="316"/>
      <c r="N63" s="535"/>
      <c r="P63" s="1000"/>
    </row>
    <row r="64" spans="1:16" ht="15.95" customHeight="1" thickBot="1" x14ac:dyDescent="0.3">
      <c r="A64" s="86"/>
      <c r="B64" s="402"/>
      <c r="C64" s="6"/>
      <c r="D64" s="846"/>
      <c r="E64" s="123"/>
      <c r="F64" s="691"/>
      <c r="G64" s="734"/>
      <c r="H64" s="132"/>
      <c r="I64" s="30"/>
      <c r="J64" s="527"/>
      <c r="K64" s="28"/>
      <c r="L64" s="8"/>
      <c r="M64" s="37"/>
      <c r="N64" s="123"/>
      <c r="P64" s="1000"/>
    </row>
    <row r="65" spans="1:16" ht="15.95" customHeight="1" thickBot="1" x14ac:dyDescent="0.3">
      <c r="A65" s="518">
        <v>15</v>
      </c>
      <c r="B65" s="468" t="s">
        <v>544</v>
      </c>
      <c r="C65" s="405">
        <v>21</v>
      </c>
      <c r="D65" s="861" t="s">
        <v>616</v>
      </c>
      <c r="E65" s="299">
        <v>9650855436</v>
      </c>
      <c r="F65" s="724" t="s">
        <v>869</v>
      </c>
      <c r="G65" s="728">
        <v>47499</v>
      </c>
      <c r="H65" s="452" t="s">
        <v>39</v>
      </c>
      <c r="I65" s="407" t="s">
        <v>19</v>
      </c>
      <c r="J65" s="528" t="s">
        <v>103</v>
      </c>
      <c r="K65" s="298" t="s">
        <v>570</v>
      </c>
      <c r="L65" s="536">
        <v>46906</v>
      </c>
      <c r="M65" s="338">
        <v>5</v>
      </c>
      <c r="N65" s="529">
        <v>5</v>
      </c>
      <c r="P65" s="1003" t="s">
        <v>890</v>
      </c>
    </row>
    <row r="66" spans="1:16" ht="15.95" customHeight="1" thickBot="1" x14ac:dyDescent="0.3">
      <c r="A66" s="85"/>
      <c r="B66" s="474" t="s">
        <v>729</v>
      </c>
      <c r="C66" s="412"/>
      <c r="D66" s="851"/>
      <c r="E66" s="481"/>
      <c r="F66" s="777"/>
      <c r="G66" s="736"/>
      <c r="H66" s="511" t="s">
        <v>548</v>
      </c>
      <c r="I66" s="415"/>
      <c r="J66" s="537"/>
      <c r="K66" s="441"/>
      <c r="L66" s="334"/>
      <c r="M66" s="322"/>
      <c r="N66" s="538"/>
      <c r="P66" s="1000"/>
    </row>
    <row r="67" spans="1:16" ht="15.95" customHeight="1" thickBot="1" x14ac:dyDescent="0.3">
      <c r="A67" s="86"/>
      <c r="B67" s="129"/>
      <c r="C67" s="6"/>
      <c r="D67" s="846"/>
      <c r="E67" s="123"/>
      <c r="F67" s="821"/>
      <c r="G67" s="729"/>
      <c r="H67" s="132"/>
      <c r="I67" s="30"/>
      <c r="J67" s="527"/>
      <c r="K67" s="28"/>
      <c r="L67" s="155"/>
      <c r="M67" s="37"/>
      <c r="N67" s="123"/>
      <c r="P67" s="1000"/>
    </row>
    <row r="68" spans="1:16" s="985" customFormat="1" ht="21" customHeight="1" thickBot="1" x14ac:dyDescent="0.25">
      <c r="A68" s="518">
        <v>16</v>
      </c>
      <c r="B68" s="468" t="s">
        <v>545</v>
      </c>
      <c r="C68" s="508">
        <v>22</v>
      </c>
      <c r="D68" s="978" t="s">
        <v>50</v>
      </c>
      <c r="E68" s="406">
        <v>9979923670</v>
      </c>
      <c r="F68" s="979" t="s">
        <v>872</v>
      </c>
      <c r="G68" s="980">
        <v>47009</v>
      </c>
      <c r="H68" s="452" t="s">
        <v>39</v>
      </c>
      <c r="I68" s="407" t="s">
        <v>19</v>
      </c>
      <c r="J68" s="981" t="s">
        <v>103</v>
      </c>
      <c r="K68" s="982">
        <v>883192</v>
      </c>
      <c r="L68" s="469">
        <v>47345</v>
      </c>
      <c r="M68" s="470">
        <v>5</v>
      </c>
      <c r="N68" s="983">
        <v>5</v>
      </c>
      <c r="O68" s="984"/>
      <c r="P68" s="1004" t="s">
        <v>890</v>
      </c>
    </row>
    <row r="69" spans="1:16" ht="15.95" customHeight="1" thickBot="1" x14ac:dyDescent="0.3">
      <c r="A69" s="15"/>
      <c r="B69" s="474" t="s">
        <v>730</v>
      </c>
      <c r="C69" s="412"/>
      <c r="D69" s="862"/>
      <c r="E69" s="539"/>
      <c r="F69" s="755"/>
      <c r="G69" s="721"/>
      <c r="H69" s="482"/>
      <c r="I69" s="532"/>
      <c r="J69" s="533"/>
      <c r="K69" s="480"/>
      <c r="L69" s="534"/>
      <c r="M69" s="316"/>
      <c r="N69" s="535"/>
      <c r="P69" s="1000"/>
    </row>
    <row r="70" spans="1:16" ht="15.95" customHeight="1" thickBot="1" x14ac:dyDescent="0.3">
      <c r="A70" s="15"/>
      <c r="B70" s="129"/>
      <c r="C70" s="6"/>
      <c r="D70" s="860"/>
      <c r="E70" s="128"/>
      <c r="F70" s="734"/>
      <c r="G70" s="719"/>
      <c r="H70" s="132"/>
      <c r="I70" s="30"/>
      <c r="J70" s="527"/>
      <c r="K70" s="28"/>
      <c r="L70" s="8"/>
      <c r="M70" s="37"/>
      <c r="N70" s="123"/>
      <c r="P70" s="1000"/>
    </row>
    <row r="71" spans="1:16" ht="15.95" customHeight="1" x14ac:dyDescent="0.25">
      <c r="A71" s="518">
        <v>17</v>
      </c>
      <c r="B71" s="468" t="s">
        <v>648</v>
      </c>
      <c r="C71" s="405">
        <v>23</v>
      </c>
      <c r="D71" s="853" t="s">
        <v>671</v>
      </c>
      <c r="E71" s="299">
        <v>9360736506</v>
      </c>
      <c r="F71" s="778" t="s">
        <v>703</v>
      </c>
      <c r="G71" s="714">
        <v>45885</v>
      </c>
      <c r="H71" s="452" t="s">
        <v>72</v>
      </c>
      <c r="I71" s="407"/>
      <c r="J71" s="528" t="s">
        <v>61</v>
      </c>
      <c r="K71" s="165" t="s">
        <v>638</v>
      </c>
      <c r="L71" s="380" t="s">
        <v>640</v>
      </c>
      <c r="M71" s="338" t="s">
        <v>649</v>
      </c>
      <c r="N71" s="529"/>
      <c r="P71" s="1005" t="s">
        <v>890</v>
      </c>
    </row>
    <row r="72" spans="1:16" ht="15.95" customHeight="1" x14ac:dyDescent="0.25">
      <c r="A72" s="102"/>
      <c r="B72" s="472" t="s">
        <v>731</v>
      </c>
      <c r="C72" s="40">
        <v>24</v>
      </c>
      <c r="D72" s="844" t="s">
        <v>672</v>
      </c>
      <c r="E72" s="75">
        <v>9359280331</v>
      </c>
      <c r="F72" s="756" t="s">
        <v>559</v>
      </c>
      <c r="G72" s="715">
        <v>45677</v>
      </c>
      <c r="H72" s="50" t="s">
        <v>72</v>
      </c>
      <c r="I72" s="16"/>
      <c r="J72" s="180" t="s">
        <v>61</v>
      </c>
      <c r="K72" s="165" t="s">
        <v>903</v>
      </c>
      <c r="L72" s="165" t="s">
        <v>640</v>
      </c>
      <c r="M72" s="18" t="s">
        <v>649</v>
      </c>
      <c r="N72" s="540"/>
      <c r="P72" s="1005" t="s">
        <v>890</v>
      </c>
    </row>
    <row r="73" spans="1:16" ht="15.95" customHeight="1" thickBot="1" x14ac:dyDescent="0.3">
      <c r="A73" s="6"/>
      <c r="B73" s="474" t="s">
        <v>756</v>
      </c>
      <c r="C73" s="412"/>
      <c r="D73" s="863"/>
      <c r="E73" s="541"/>
      <c r="F73" s="737"/>
      <c r="G73" s="722"/>
      <c r="H73" s="542" t="s">
        <v>27</v>
      </c>
      <c r="I73" s="443" t="s">
        <v>650</v>
      </c>
      <c r="J73" s="543"/>
      <c r="K73" s="544"/>
      <c r="L73" s="545"/>
      <c r="M73" s="546"/>
      <c r="N73" s="547"/>
      <c r="P73" s="1000"/>
    </row>
    <row r="74" spans="1:16" ht="15.95" customHeight="1" thickBot="1" x14ac:dyDescent="0.3">
      <c r="A74" s="6"/>
      <c r="B74" s="129"/>
      <c r="C74" s="6"/>
      <c r="D74" s="859"/>
      <c r="E74" s="510"/>
      <c r="F74" s="733"/>
      <c r="G74" s="729"/>
      <c r="H74" s="132"/>
      <c r="I74" s="30"/>
      <c r="J74" s="527"/>
      <c r="K74" s="28"/>
      <c r="L74" s="8"/>
      <c r="M74" s="37"/>
      <c r="N74" s="123"/>
      <c r="P74" s="1000"/>
    </row>
    <row r="75" spans="1:16" ht="15.95" customHeight="1" x14ac:dyDescent="0.25">
      <c r="A75" s="518">
        <v>18</v>
      </c>
      <c r="B75" s="548" t="s">
        <v>58</v>
      </c>
      <c r="C75" s="405">
        <v>25</v>
      </c>
      <c r="D75" s="964" t="s">
        <v>383</v>
      </c>
      <c r="E75" s="150" t="s">
        <v>384</v>
      </c>
      <c r="F75" s="224" t="s">
        <v>580</v>
      </c>
      <c r="G75" s="224">
        <v>46972</v>
      </c>
      <c r="H75" s="549" t="s">
        <v>18</v>
      </c>
      <c r="I75" s="550" t="s">
        <v>19</v>
      </c>
      <c r="J75" s="303" t="s">
        <v>61</v>
      </c>
      <c r="K75" s="337" t="s">
        <v>436</v>
      </c>
      <c r="L75" s="300">
        <v>48717</v>
      </c>
      <c r="M75" s="338">
        <v>10</v>
      </c>
      <c r="N75" s="308">
        <v>10</v>
      </c>
      <c r="P75" s="1006" t="s">
        <v>893</v>
      </c>
    </row>
    <row r="76" spans="1:16" s="58" customFormat="1" ht="15.95" customHeight="1" x14ac:dyDescent="0.25">
      <c r="A76" s="101"/>
      <c r="B76" s="294" t="s">
        <v>732</v>
      </c>
      <c r="C76" s="40">
        <v>26</v>
      </c>
      <c r="D76" s="19" t="s">
        <v>67</v>
      </c>
      <c r="E76" s="125" t="s">
        <v>68</v>
      </c>
      <c r="F76" s="715" t="s">
        <v>830</v>
      </c>
      <c r="G76" s="717">
        <v>46972</v>
      </c>
      <c r="H76" s="59" t="s">
        <v>26</v>
      </c>
      <c r="I76" s="59" t="s">
        <v>43</v>
      </c>
      <c r="J76" s="60" t="s">
        <v>25</v>
      </c>
      <c r="K76" s="20" t="s">
        <v>63</v>
      </c>
      <c r="L76" s="39">
        <v>47673</v>
      </c>
      <c r="M76" s="18">
        <v>4</v>
      </c>
      <c r="N76" s="311">
        <v>4</v>
      </c>
      <c r="O76" s="145"/>
      <c r="P76" s="1006" t="s">
        <v>886</v>
      </c>
    </row>
    <row r="77" spans="1:16" s="58" customFormat="1" ht="15.95" customHeight="1" x14ac:dyDescent="0.25">
      <c r="A77" s="101"/>
      <c r="B77" s="411" t="s">
        <v>733</v>
      </c>
      <c r="C77" s="40">
        <v>27</v>
      </c>
      <c r="D77" s="106" t="s">
        <v>832</v>
      </c>
      <c r="E77" s="125" t="s">
        <v>62</v>
      </c>
      <c r="F77" s="718" t="s">
        <v>990</v>
      </c>
      <c r="G77" s="717">
        <v>47136</v>
      </c>
      <c r="H77" s="59" t="s">
        <v>26</v>
      </c>
      <c r="I77" s="60" t="s">
        <v>66</v>
      </c>
      <c r="J77" s="60" t="s">
        <v>25</v>
      </c>
      <c r="K77" s="61">
        <v>5571013</v>
      </c>
      <c r="L77" s="39">
        <v>48723</v>
      </c>
      <c r="M77" s="18">
        <v>5</v>
      </c>
      <c r="N77" s="311">
        <v>5</v>
      </c>
      <c r="O77" s="145"/>
      <c r="P77" s="1006" t="s">
        <v>886</v>
      </c>
    </row>
    <row r="78" spans="1:16" s="58" customFormat="1" ht="15.95" customHeight="1" x14ac:dyDescent="0.25">
      <c r="A78" s="101"/>
      <c r="B78" s="295"/>
      <c r="C78" s="17">
        <v>28</v>
      </c>
      <c r="D78" s="962" t="s">
        <v>77</v>
      </c>
      <c r="E78" s="126">
        <v>9561363028</v>
      </c>
      <c r="F78" s="779" t="s">
        <v>698</v>
      </c>
      <c r="G78" s="715">
        <v>46972</v>
      </c>
      <c r="H78" s="59" t="s">
        <v>26</v>
      </c>
      <c r="I78" s="59" t="s">
        <v>19</v>
      </c>
      <c r="J78" s="60" t="s">
        <v>25</v>
      </c>
      <c r="K78" s="264" t="s">
        <v>792</v>
      </c>
      <c r="L78" s="39">
        <v>48085</v>
      </c>
      <c r="M78" s="18">
        <v>4</v>
      </c>
      <c r="N78" s="311">
        <v>4</v>
      </c>
      <c r="O78" s="145"/>
      <c r="P78" s="1006" t="s">
        <v>892</v>
      </c>
    </row>
    <row r="79" spans="1:16" s="58" customFormat="1" ht="15.95" customHeight="1" thickBot="1" x14ac:dyDescent="0.3">
      <c r="A79" s="101"/>
      <c r="B79" s="296"/>
      <c r="C79" s="972">
        <v>29</v>
      </c>
      <c r="D79" s="957" t="s">
        <v>81</v>
      </c>
      <c r="E79" s="126">
        <v>9066875828</v>
      </c>
      <c r="F79" s="779" t="s">
        <v>582</v>
      </c>
      <c r="G79" s="715">
        <v>46972</v>
      </c>
      <c r="H79" s="551" t="s">
        <v>27</v>
      </c>
      <c r="I79" s="552"/>
      <c r="J79" s="319"/>
      <c r="K79" s="320"/>
      <c r="L79" s="321"/>
      <c r="M79" s="322"/>
      <c r="N79" s="323"/>
      <c r="O79" s="145"/>
      <c r="P79" s="1000"/>
    </row>
    <row r="80" spans="1:16" s="58" customFormat="1" ht="15.95" customHeight="1" thickBot="1" x14ac:dyDescent="0.3">
      <c r="A80" s="101"/>
      <c r="B80" s="27"/>
      <c r="C80" s="433"/>
      <c r="D80" s="968"/>
      <c r="E80" s="769"/>
      <c r="F80" s="969"/>
      <c r="G80" s="733"/>
      <c r="H80" s="949"/>
      <c r="I80" s="949"/>
      <c r="J80" s="570"/>
      <c r="K80" s="438"/>
      <c r="L80" s="970"/>
      <c r="M80" s="971"/>
      <c r="N80" s="438"/>
      <c r="O80" s="145"/>
      <c r="P80" s="1000"/>
    </row>
    <row r="81" spans="1:19" s="58" customFormat="1" ht="15.95" customHeight="1" x14ac:dyDescent="0.25">
      <c r="A81" s="518">
        <v>19</v>
      </c>
      <c r="B81" s="548" t="s">
        <v>71</v>
      </c>
      <c r="C81" s="40">
        <v>30</v>
      </c>
      <c r="D81" s="847" t="s">
        <v>769</v>
      </c>
      <c r="E81" s="125">
        <v>9914093742</v>
      </c>
      <c r="F81" s="715" t="s">
        <v>991</v>
      </c>
      <c r="G81" s="720">
        <v>47506</v>
      </c>
      <c r="H81" s="965" t="s">
        <v>72</v>
      </c>
      <c r="I81" s="944" t="s">
        <v>19</v>
      </c>
      <c r="J81" s="57" t="s">
        <v>61</v>
      </c>
      <c r="K81" s="34" t="s">
        <v>236</v>
      </c>
      <c r="L81" s="176">
        <v>48717</v>
      </c>
      <c r="M81" s="45">
        <v>9</v>
      </c>
      <c r="N81" s="582">
        <v>9</v>
      </c>
      <c r="O81" s="145"/>
      <c r="P81" s="1005" t="s">
        <v>893</v>
      </c>
    </row>
    <row r="82" spans="1:19" s="58" customFormat="1" ht="15.95" customHeight="1" x14ac:dyDescent="0.25">
      <c r="A82" s="101"/>
      <c r="B82" s="294" t="s">
        <v>734</v>
      </c>
      <c r="C82" s="40">
        <v>31</v>
      </c>
      <c r="D82" s="106" t="s">
        <v>512</v>
      </c>
      <c r="E82" s="125">
        <v>9066790367</v>
      </c>
      <c r="F82" s="126" t="s">
        <v>989</v>
      </c>
      <c r="G82" s="717">
        <v>47568</v>
      </c>
      <c r="H82" s="59" t="s">
        <v>26</v>
      </c>
      <c r="I82" s="60" t="s">
        <v>43</v>
      </c>
      <c r="J82" s="60" t="s">
        <v>25</v>
      </c>
      <c r="K82" s="20" t="s">
        <v>74</v>
      </c>
      <c r="L82" s="39">
        <v>47720</v>
      </c>
      <c r="M82" s="18">
        <v>8</v>
      </c>
      <c r="N82" s="311">
        <v>8</v>
      </c>
      <c r="O82" s="145"/>
      <c r="P82" s="1006" t="s">
        <v>892</v>
      </c>
    </row>
    <row r="83" spans="1:19" s="58" customFormat="1" ht="15.95" customHeight="1" x14ac:dyDescent="0.25">
      <c r="A83" s="101"/>
      <c r="B83" s="411" t="s">
        <v>757</v>
      </c>
      <c r="C83" s="40">
        <v>32</v>
      </c>
      <c r="D83" s="903" t="s">
        <v>82</v>
      </c>
      <c r="E83" s="1095" t="s">
        <v>83</v>
      </c>
      <c r="F83" s="150" t="s">
        <v>579</v>
      </c>
      <c r="G83" s="1096">
        <v>46972</v>
      </c>
      <c r="H83" s="1097" t="s">
        <v>26</v>
      </c>
      <c r="I83" s="60" t="s">
        <v>43</v>
      </c>
      <c r="J83" s="60" t="s">
        <v>25</v>
      </c>
      <c r="K83" s="20" t="s">
        <v>75</v>
      </c>
      <c r="L83" s="39">
        <v>47673</v>
      </c>
      <c r="M83" s="18">
        <v>8</v>
      </c>
      <c r="N83" s="311">
        <v>8</v>
      </c>
      <c r="O83" s="145"/>
      <c r="P83" s="1006" t="s">
        <v>886</v>
      </c>
    </row>
    <row r="84" spans="1:19" s="58" customFormat="1" ht="15.95" customHeight="1" thickBot="1" x14ac:dyDescent="0.3">
      <c r="A84" s="101"/>
      <c r="B84" s="296"/>
      <c r="C84" s="412"/>
      <c r="D84" s="959"/>
      <c r="E84" s="904"/>
      <c r="F84" s="960"/>
      <c r="G84" s="939"/>
      <c r="H84" s="551" t="s">
        <v>27</v>
      </c>
      <c r="I84" s="319"/>
      <c r="J84" s="319"/>
      <c r="K84" s="320"/>
      <c r="L84" s="321"/>
      <c r="M84" s="322">
        <v>1</v>
      </c>
      <c r="N84" s="323">
        <v>1</v>
      </c>
      <c r="O84" s="145"/>
      <c r="P84" s="1000"/>
    </row>
    <row r="85" spans="1:19" s="58" customFormat="1" ht="15.95" customHeight="1" thickBot="1" x14ac:dyDescent="0.3">
      <c r="A85" s="101"/>
      <c r="B85" s="27"/>
      <c r="C85" s="6"/>
      <c r="D85" s="961"/>
      <c r="E85" s="355">
        <f ca="1">E85:E91</f>
        <v>0</v>
      </c>
      <c r="F85" s="948"/>
      <c r="G85" s="948"/>
      <c r="H85" s="62"/>
      <c r="I85" s="63"/>
      <c r="J85" s="63"/>
      <c r="K85" s="46"/>
      <c r="L85" s="8"/>
      <c r="M85" s="37"/>
      <c r="N85" s="46"/>
      <c r="O85" s="145"/>
      <c r="P85" s="1000"/>
    </row>
    <row r="86" spans="1:19" s="58" customFormat="1" ht="15.95" customHeight="1" x14ac:dyDescent="0.25">
      <c r="A86" s="518">
        <v>20</v>
      </c>
      <c r="B86" s="404" t="s">
        <v>76</v>
      </c>
      <c r="C86" s="405">
        <v>33</v>
      </c>
      <c r="D86" s="957" t="s">
        <v>583</v>
      </c>
      <c r="E86" s="126">
        <v>9702648934</v>
      </c>
      <c r="F86" s="779" t="s">
        <v>635</v>
      </c>
      <c r="G86" s="715">
        <v>46918</v>
      </c>
      <c r="H86" s="70" t="s">
        <v>72</v>
      </c>
      <c r="I86" s="70" t="s">
        <v>19</v>
      </c>
      <c r="J86" s="92" t="s">
        <v>61</v>
      </c>
      <c r="K86" s="165" t="s">
        <v>627</v>
      </c>
      <c r="L86" s="211">
        <v>48732</v>
      </c>
      <c r="M86" s="92">
        <v>10</v>
      </c>
      <c r="N86" s="583" t="s">
        <v>930</v>
      </c>
      <c r="O86" s="145"/>
      <c r="P86" s="1006" t="s">
        <v>890</v>
      </c>
    </row>
    <row r="87" spans="1:19" s="58" customFormat="1" ht="15.95" customHeight="1" x14ac:dyDescent="0.25">
      <c r="A87" s="102"/>
      <c r="B87" s="295" t="s">
        <v>735</v>
      </c>
      <c r="C87" s="17">
        <v>34</v>
      </c>
      <c r="D87" s="1072" t="s">
        <v>385</v>
      </c>
      <c r="E87" s="1073" t="s">
        <v>386</v>
      </c>
      <c r="F87" s="151" t="s">
        <v>469</v>
      </c>
      <c r="G87" s="718">
        <v>45842</v>
      </c>
      <c r="H87" s="223" t="s">
        <v>26</v>
      </c>
      <c r="I87" s="60" t="s">
        <v>19</v>
      </c>
      <c r="J87" s="60" t="s">
        <v>25</v>
      </c>
      <c r="K87" s="20">
        <v>983619</v>
      </c>
      <c r="L87" s="39">
        <v>47020</v>
      </c>
      <c r="M87" s="18">
        <v>4</v>
      </c>
      <c r="N87" s="311">
        <v>5</v>
      </c>
      <c r="O87" s="145"/>
      <c r="P87" s="1006" t="s">
        <v>891</v>
      </c>
    </row>
    <row r="88" spans="1:19" s="58" customFormat="1" ht="15.95" customHeight="1" x14ac:dyDescent="0.25">
      <c r="A88" s="101"/>
      <c r="B88" s="411" t="s">
        <v>758</v>
      </c>
      <c r="C88" s="40">
        <v>35</v>
      </c>
      <c r="D88" s="959" t="s">
        <v>536</v>
      </c>
      <c r="E88" s="904">
        <v>9462482464</v>
      </c>
      <c r="F88" s="960" t="s">
        <v>537</v>
      </c>
      <c r="G88" s="939">
        <v>46102</v>
      </c>
      <c r="H88" s="223" t="s">
        <v>26</v>
      </c>
      <c r="I88" s="60" t="s">
        <v>19</v>
      </c>
      <c r="J88" s="60" t="s">
        <v>25</v>
      </c>
      <c r="K88" s="145">
        <v>873574</v>
      </c>
      <c r="L88" s="39">
        <v>48717</v>
      </c>
      <c r="M88" s="18">
        <v>5</v>
      </c>
      <c r="N88" s="311">
        <v>10</v>
      </c>
      <c r="O88" s="145"/>
      <c r="P88" s="1005" t="s">
        <v>890</v>
      </c>
    </row>
    <row r="89" spans="1:19" s="58" customFormat="1" ht="15.95" customHeight="1" x14ac:dyDescent="0.25">
      <c r="A89" s="101"/>
      <c r="B89" s="295"/>
      <c r="C89" s="17"/>
      <c r="D89" s="866"/>
      <c r="E89" s="219"/>
      <c r="F89" s="958"/>
      <c r="G89" s="956"/>
      <c r="H89" s="223" t="s">
        <v>27</v>
      </c>
      <c r="I89" s="60"/>
      <c r="J89" s="60"/>
      <c r="K89" s="20"/>
      <c r="L89" s="39"/>
      <c r="M89" s="18">
        <v>1</v>
      </c>
      <c r="N89" s="311"/>
      <c r="O89" s="145"/>
      <c r="P89" s="1000"/>
    </row>
    <row r="90" spans="1:19" s="58" customFormat="1" ht="15.95" customHeight="1" thickBot="1" x14ac:dyDescent="0.3">
      <c r="A90" s="101"/>
      <c r="B90" s="296"/>
      <c r="C90" s="412"/>
      <c r="D90" s="851"/>
      <c r="E90" s="481"/>
      <c r="F90" s="744"/>
      <c r="G90" s="722"/>
      <c r="H90" s="551" t="s">
        <v>620</v>
      </c>
      <c r="I90" s="319"/>
      <c r="J90" s="319"/>
      <c r="K90" s="320"/>
      <c r="L90" s="321"/>
      <c r="M90" s="322">
        <v>1</v>
      </c>
      <c r="N90" s="323">
        <v>1</v>
      </c>
      <c r="O90" s="145"/>
      <c r="P90" s="1000"/>
    </row>
    <row r="91" spans="1:19" s="58" customFormat="1" ht="15.95" customHeight="1" thickBot="1" x14ac:dyDescent="0.3">
      <c r="A91" s="101"/>
      <c r="B91" s="27"/>
      <c r="C91" s="6"/>
      <c r="D91" s="846"/>
      <c r="E91" s="123"/>
      <c r="F91" s="734"/>
      <c r="G91" s="719"/>
      <c r="H91" s="62"/>
      <c r="I91" s="63"/>
      <c r="J91" s="63"/>
      <c r="K91" s="46"/>
      <c r="L91" s="8"/>
      <c r="M91" s="37"/>
      <c r="N91" s="46"/>
      <c r="O91" s="145"/>
      <c r="P91" s="1000"/>
      <c r="R91" s="913"/>
      <c r="S91" s="914"/>
    </row>
    <row r="92" spans="1:19" s="58" customFormat="1" ht="15.95" customHeight="1" x14ac:dyDescent="0.25">
      <c r="A92" s="518">
        <v>21</v>
      </c>
      <c r="B92" s="557" t="s">
        <v>80</v>
      </c>
      <c r="C92" s="405">
        <v>36</v>
      </c>
      <c r="D92" s="106" t="s">
        <v>870</v>
      </c>
      <c r="E92" s="125">
        <v>9753549727</v>
      </c>
      <c r="F92" s="126" t="s">
        <v>829</v>
      </c>
      <c r="G92" s="717">
        <v>47364</v>
      </c>
      <c r="H92" s="549" t="s">
        <v>39</v>
      </c>
      <c r="I92" s="303" t="s">
        <v>19</v>
      </c>
      <c r="J92" s="303" t="s">
        <v>40</v>
      </c>
      <c r="K92" s="337">
        <v>924792</v>
      </c>
      <c r="L92" s="306">
        <v>48723</v>
      </c>
      <c r="M92" s="307">
        <v>10</v>
      </c>
      <c r="N92" s="308">
        <v>10</v>
      </c>
      <c r="O92" s="145"/>
      <c r="P92" s="1006" t="s">
        <v>886</v>
      </c>
    </row>
    <row r="93" spans="1:19" s="58" customFormat="1" ht="15.95" customHeight="1" thickBot="1" x14ac:dyDescent="0.3">
      <c r="A93" s="101"/>
      <c r="B93" s="348" t="s">
        <v>736</v>
      </c>
      <c r="C93" s="40">
        <v>37</v>
      </c>
      <c r="D93" s="973" t="s">
        <v>495</v>
      </c>
      <c r="E93" s="771">
        <v>9553585028</v>
      </c>
      <c r="F93" s="974" t="s">
        <v>603</v>
      </c>
      <c r="G93" s="737">
        <v>46972</v>
      </c>
      <c r="H93" s="223" t="s">
        <v>26</v>
      </c>
      <c r="I93" s="60" t="s">
        <v>19</v>
      </c>
      <c r="J93" s="67" t="s">
        <v>25</v>
      </c>
      <c r="K93" s="947" t="s">
        <v>860</v>
      </c>
      <c r="L93" s="95">
        <v>48717</v>
      </c>
      <c r="M93" s="25">
        <v>10</v>
      </c>
      <c r="N93" s="311">
        <v>10</v>
      </c>
      <c r="O93" s="145"/>
      <c r="P93" s="1005" t="s">
        <v>895</v>
      </c>
      <c r="Q93" s="913"/>
    </row>
    <row r="94" spans="1:19" s="58" customFormat="1" ht="15.95" customHeight="1" x14ac:dyDescent="0.25">
      <c r="A94" s="101"/>
      <c r="B94" s="558" t="s">
        <v>759</v>
      </c>
      <c r="C94" s="17"/>
      <c r="D94" s="903"/>
      <c r="E94" s="127"/>
      <c r="F94" s="126"/>
      <c r="G94" s="717"/>
      <c r="H94" s="223" t="s">
        <v>27</v>
      </c>
      <c r="I94" s="60"/>
      <c r="J94" s="60"/>
      <c r="K94" s="20"/>
      <c r="L94" s="39"/>
      <c r="M94" s="18">
        <v>1</v>
      </c>
      <c r="N94" s="311">
        <v>1</v>
      </c>
      <c r="O94" s="145"/>
      <c r="P94" s="1000"/>
    </row>
    <row r="95" spans="1:19" s="58" customFormat="1" ht="15.95" customHeight="1" thickBot="1" x14ac:dyDescent="0.3">
      <c r="A95" s="101"/>
      <c r="B95" s="349"/>
      <c r="C95" s="412"/>
      <c r="D95" s="845"/>
      <c r="E95" s="413"/>
      <c r="F95" s="769"/>
      <c r="G95" s="725"/>
      <c r="H95" s="551" t="s">
        <v>620</v>
      </c>
      <c r="I95" s="319"/>
      <c r="J95" s="319"/>
      <c r="K95" s="320"/>
      <c r="L95" s="321"/>
      <c r="M95" s="322">
        <v>1</v>
      </c>
      <c r="N95" s="323">
        <v>1</v>
      </c>
      <c r="O95" s="145"/>
      <c r="P95" s="1000"/>
    </row>
    <row r="96" spans="1:19" s="58" customFormat="1" ht="15.95" customHeight="1" thickBot="1" x14ac:dyDescent="0.3">
      <c r="A96" s="101"/>
      <c r="B96" s="66"/>
      <c r="C96" s="6"/>
      <c r="D96" s="846"/>
      <c r="E96" s="123"/>
      <c r="F96" s="122"/>
      <c r="G96" s="719"/>
      <c r="H96" s="62"/>
      <c r="I96" s="63"/>
      <c r="J96" s="63"/>
      <c r="K96" s="46"/>
      <c r="L96" s="8"/>
      <c r="M96" s="37"/>
      <c r="N96" s="46"/>
      <c r="O96" s="145"/>
      <c r="P96" s="1000"/>
    </row>
    <row r="97" spans="1:16" s="58" customFormat="1" ht="15.95" customHeight="1" x14ac:dyDescent="0.25">
      <c r="A97" s="518">
        <v>22</v>
      </c>
      <c r="B97" s="560" t="s">
        <v>84</v>
      </c>
      <c r="C97" s="405">
        <v>38</v>
      </c>
      <c r="D97" s="843" t="s">
        <v>85</v>
      </c>
      <c r="E97" s="299" t="s">
        <v>86</v>
      </c>
      <c r="F97" s="723" t="s">
        <v>884</v>
      </c>
      <c r="G97" s="723">
        <v>47149</v>
      </c>
      <c r="H97" s="561" t="s">
        <v>18</v>
      </c>
      <c r="I97" s="303" t="s">
        <v>19</v>
      </c>
      <c r="J97" s="562" t="s">
        <v>20</v>
      </c>
      <c r="K97" s="298">
        <v>1073213</v>
      </c>
      <c r="L97" s="306">
        <v>48723</v>
      </c>
      <c r="M97" s="307">
        <v>12</v>
      </c>
      <c r="N97" s="308" t="s">
        <v>446</v>
      </c>
      <c r="O97" s="145"/>
      <c r="P97" s="1005" t="s">
        <v>886</v>
      </c>
    </row>
    <row r="98" spans="1:16" s="58" customFormat="1" ht="15.95" customHeight="1" x14ac:dyDescent="0.25">
      <c r="A98" s="101"/>
      <c r="B98" s="563" t="s">
        <v>87</v>
      </c>
      <c r="C98" s="160">
        <v>39</v>
      </c>
      <c r="D98" s="1091" t="s">
        <v>90</v>
      </c>
      <c r="E98" s="217" t="s">
        <v>91</v>
      </c>
      <c r="F98" s="1090" t="s">
        <v>881</v>
      </c>
      <c r="G98" s="1028">
        <v>47148</v>
      </c>
      <c r="H98" s="703" t="s">
        <v>26</v>
      </c>
      <c r="I98" s="74" t="s">
        <v>19</v>
      </c>
      <c r="J98" s="1089" t="s">
        <v>25</v>
      </c>
      <c r="K98" s="182">
        <v>6551003</v>
      </c>
      <c r="L98" s="206">
        <v>46913</v>
      </c>
      <c r="M98" s="76">
        <v>12</v>
      </c>
      <c r="N98" s="350">
        <v>12</v>
      </c>
      <c r="O98" s="145"/>
      <c r="P98" s="1027" t="s">
        <v>886</v>
      </c>
    </row>
    <row r="99" spans="1:16" s="58" customFormat="1" ht="15.95" customHeight="1" x14ac:dyDescent="0.25">
      <c r="A99" s="101"/>
      <c r="B99" s="69" t="s">
        <v>737</v>
      </c>
      <c r="C99" s="17">
        <v>40</v>
      </c>
      <c r="D99" s="81" t="s">
        <v>916</v>
      </c>
      <c r="E99" s="20">
        <v>9128181558</v>
      </c>
      <c r="F99" s="718" t="s">
        <v>917</v>
      </c>
      <c r="G99" s="715">
        <v>47495</v>
      </c>
      <c r="H99" s="59" t="s">
        <v>26</v>
      </c>
      <c r="I99" s="60" t="s">
        <v>24</v>
      </c>
      <c r="J99" s="115" t="s">
        <v>25</v>
      </c>
      <c r="K99" s="19">
        <v>6550995</v>
      </c>
      <c r="L99" s="39">
        <v>48723</v>
      </c>
      <c r="M99" s="18">
        <v>12</v>
      </c>
      <c r="N99" s="20">
        <v>12</v>
      </c>
      <c r="O99" s="99"/>
      <c r="P99" s="1006" t="s">
        <v>886</v>
      </c>
    </row>
    <row r="100" spans="1:16" s="58" customFormat="1" ht="16.5" customHeight="1" x14ac:dyDescent="0.25">
      <c r="A100" s="101"/>
      <c r="B100" s="69"/>
      <c r="C100" s="17">
        <v>41</v>
      </c>
      <c r="D100" s="962" t="s">
        <v>266</v>
      </c>
      <c r="E100" s="126" t="s">
        <v>267</v>
      </c>
      <c r="F100" s="962" t="s">
        <v>883</v>
      </c>
      <c r="G100" s="1092">
        <v>47377</v>
      </c>
      <c r="H100" s="59" t="s">
        <v>27</v>
      </c>
      <c r="I100" s="60"/>
      <c r="J100" s="115"/>
      <c r="K100" s="19"/>
      <c r="L100" s="39"/>
      <c r="M100" s="18"/>
      <c r="N100" s="20"/>
      <c r="O100" s="1093"/>
      <c r="P100" s="1006"/>
    </row>
    <row r="101" spans="1:16" s="58" customFormat="1" ht="16.5" customHeight="1" x14ac:dyDescent="0.25">
      <c r="A101" s="6"/>
      <c r="B101" s="66"/>
      <c r="C101" s="6"/>
      <c r="D101" s="913"/>
      <c r="E101" s="122"/>
      <c r="F101" s="913"/>
      <c r="G101" s="914"/>
      <c r="H101" s="62"/>
      <c r="I101" s="63"/>
      <c r="J101" s="991"/>
      <c r="K101" s="28"/>
      <c r="L101" s="8"/>
      <c r="M101" s="37"/>
      <c r="N101" s="46"/>
      <c r="O101" s="195"/>
      <c r="P101" s="1000"/>
    </row>
    <row r="102" spans="1:16" s="58" customFormat="1" ht="15.95" customHeight="1" x14ac:dyDescent="0.25">
      <c r="A102" s="518">
        <v>23</v>
      </c>
      <c r="B102" s="69" t="s">
        <v>963</v>
      </c>
      <c r="C102" s="17">
        <v>42</v>
      </c>
      <c r="D102" s="106" t="s">
        <v>958</v>
      </c>
      <c r="E102" s="125"/>
      <c r="F102" s="715"/>
      <c r="G102" s="715"/>
      <c r="H102" s="70" t="s">
        <v>18</v>
      </c>
      <c r="I102" s="60" t="s">
        <v>19</v>
      </c>
      <c r="J102" s="114" t="s">
        <v>20</v>
      </c>
      <c r="K102" s="19" t="s">
        <v>978</v>
      </c>
      <c r="L102" s="95" t="s">
        <v>973</v>
      </c>
      <c r="M102" s="25">
        <v>20</v>
      </c>
      <c r="N102" s="20" t="s">
        <v>974</v>
      </c>
      <c r="O102"/>
      <c r="P102"/>
    </row>
    <row r="103" spans="1:16" s="58" customFormat="1" ht="15.95" customHeight="1" x14ac:dyDescent="0.25">
      <c r="A103"/>
      <c r="B103"/>
      <c r="C103" s="17">
        <v>43</v>
      </c>
      <c r="D103" s="165" t="s">
        <v>959</v>
      </c>
      <c r="E103" s="165"/>
      <c r="F103" s="165"/>
      <c r="G103" s="165"/>
      <c r="H103" s="70" t="s">
        <v>18</v>
      </c>
      <c r="I103" s="60" t="s">
        <v>19</v>
      </c>
      <c r="J103" s="114" t="s">
        <v>20</v>
      </c>
      <c r="K103" s="165" t="s">
        <v>979</v>
      </c>
      <c r="L103" s="92" t="s">
        <v>973</v>
      </c>
      <c r="M103" s="92">
        <v>20</v>
      </c>
      <c r="N103" s="20" t="s">
        <v>974</v>
      </c>
      <c r="O103"/>
      <c r="P103"/>
    </row>
    <row r="104" spans="1:16" s="58" customFormat="1" ht="15.95" customHeight="1" x14ac:dyDescent="0.25">
      <c r="A104"/>
      <c r="B104"/>
      <c r="C104" s="17">
        <v>44</v>
      </c>
      <c r="D104" s="165" t="s">
        <v>960</v>
      </c>
      <c r="E104" s="165"/>
      <c r="F104" s="165"/>
      <c r="G104" s="165"/>
      <c r="H104" s="70" t="s">
        <v>18</v>
      </c>
      <c r="I104" s="60" t="s">
        <v>19</v>
      </c>
      <c r="J104" s="114" t="s">
        <v>20</v>
      </c>
      <c r="K104" s="165" t="s">
        <v>980</v>
      </c>
      <c r="L104" s="92" t="s">
        <v>973</v>
      </c>
      <c r="M104" s="92">
        <v>20</v>
      </c>
      <c r="N104" s="20" t="s">
        <v>974</v>
      </c>
      <c r="O104"/>
      <c r="P104"/>
    </row>
    <row r="105" spans="1:16" s="58" customFormat="1" ht="15.95" customHeight="1" x14ac:dyDescent="0.25">
      <c r="A105"/>
      <c r="B105"/>
      <c r="C105" s="17">
        <v>45</v>
      </c>
      <c r="D105" s="165" t="s">
        <v>961</v>
      </c>
      <c r="E105" s="165"/>
      <c r="F105" s="165"/>
      <c r="G105" s="165"/>
      <c r="H105" s="70" t="s">
        <v>18</v>
      </c>
      <c r="I105" s="60" t="s">
        <v>19</v>
      </c>
      <c r="J105" s="114" t="s">
        <v>20</v>
      </c>
      <c r="K105" s="165" t="s">
        <v>981</v>
      </c>
      <c r="L105" s="92" t="s">
        <v>973</v>
      </c>
      <c r="M105" s="92">
        <v>20</v>
      </c>
      <c r="N105" s="20" t="s">
        <v>974</v>
      </c>
      <c r="O105"/>
      <c r="P105"/>
    </row>
    <row r="106" spans="1:16" s="58" customFormat="1" ht="15.95" customHeight="1" x14ac:dyDescent="0.25">
      <c r="A106"/>
      <c r="B106"/>
      <c r="C106" s="17">
        <v>46</v>
      </c>
      <c r="D106" s="165" t="s">
        <v>962</v>
      </c>
      <c r="E106" s="165"/>
      <c r="F106" s="165"/>
      <c r="G106" s="165"/>
      <c r="H106" s="1081" t="s">
        <v>26</v>
      </c>
      <c r="I106" s="1082" t="s">
        <v>975</v>
      </c>
      <c r="J106" s="16" t="s">
        <v>25</v>
      </c>
      <c r="K106" s="1079" t="s">
        <v>982</v>
      </c>
      <c r="L106" s="1083">
        <v>48742</v>
      </c>
      <c r="M106" s="18">
        <v>8</v>
      </c>
      <c r="N106" s="18">
        <v>8</v>
      </c>
      <c r="O106"/>
      <c r="P106"/>
    </row>
    <row r="107" spans="1:16" s="58" customFormat="1" ht="15.95" customHeight="1" x14ac:dyDescent="0.25">
      <c r="A107"/>
      <c r="B107"/>
      <c r="C107" s="17">
        <v>47</v>
      </c>
      <c r="D107" s="165" t="s">
        <v>957</v>
      </c>
      <c r="E107" s="165"/>
      <c r="F107" s="165"/>
      <c r="G107" s="165"/>
      <c r="H107" s="23" t="s">
        <v>26</v>
      </c>
      <c r="I107" s="16" t="s">
        <v>975</v>
      </c>
      <c r="J107" s="16" t="s">
        <v>25</v>
      </c>
      <c r="K107" s="1079" t="s">
        <v>983</v>
      </c>
      <c r="L107" s="1083">
        <v>48742</v>
      </c>
      <c r="M107" s="18">
        <v>8</v>
      </c>
      <c r="N107" s="18">
        <v>8</v>
      </c>
      <c r="O107"/>
      <c r="P107"/>
    </row>
    <row r="108" spans="1:16" s="58" customFormat="1" ht="15.95" customHeight="1" x14ac:dyDescent="0.25">
      <c r="A108"/>
      <c r="B108"/>
      <c r="C108"/>
      <c r="D108"/>
      <c r="E108"/>
      <c r="F108"/>
      <c r="G108"/>
      <c r="H108" s="1084" t="s">
        <v>987</v>
      </c>
      <c r="I108" s="1085" t="s">
        <v>988</v>
      </c>
      <c r="J108" s="1085"/>
      <c r="K108" s="1086"/>
      <c r="L108" s="1087"/>
      <c r="M108" s="92">
        <v>1</v>
      </c>
      <c r="N108" s="92">
        <v>1</v>
      </c>
      <c r="O108"/>
      <c r="P108"/>
    </row>
    <row r="109" spans="1:16" s="58" customFormat="1" ht="15.95" customHeight="1" thickBot="1" x14ac:dyDescent="0.3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</row>
    <row r="110" spans="1:16" s="58" customFormat="1" ht="15.95" customHeight="1" x14ac:dyDescent="0.25">
      <c r="A110" s="518">
        <v>24</v>
      </c>
      <c r="B110" s="560" t="s">
        <v>956</v>
      </c>
      <c r="C110" s="17">
        <v>48</v>
      </c>
      <c r="D110" s="106" t="s">
        <v>968</v>
      </c>
      <c r="E110" s="125"/>
      <c r="F110" s="715"/>
      <c r="G110" s="715"/>
      <c r="H110" s="70" t="s">
        <v>18</v>
      </c>
      <c r="I110" s="60" t="s">
        <v>19</v>
      </c>
      <c r="J110" s="114" t="s">
        <v>20</v>
      </c>
      <c r="K110" s="19" t="s">
        <v>969</v>
      </c>
      <c r="L110" s="803" t="s">
        <v>973</v>
      </c>
      <c r="M110" s="25">
        <v>20</v>
      </c>
      <c r="N110" s="20" t="s">
        <v>974</v>
      </c>
      <c r="O110"/>
      <c r="P110"/>
    </row>
    <row r="111" spans="1:16" s="58" customFormat="1" ht="15.95" customHeight="1" x14ac:dyDescent="0.25">
      <c r="A111"/>
      <c r="B111"/>
      <c r="C111" s="17">
        <v>49</v>
      </c>
      <c r="D111" s="165" t="s">
        <v>964</v>
      </c>
      <c r="E111" s="165"/>
      <c r="F111" s="165"/>
      <c r="G111" s="165"/>
      <c r="H111" s="70" t="s">
        <v>18</v>
      </c>
      <c r="I111" s="60" t="s">
        <v>19</v>
      </c>
      <c r="J111" s="114" t="s">
        <v>20</v>
      </c>
      <c r="K111" s="165" t="s">
        <v>970</v>
      </c>
      <c r="L111" s="225" t="s">
        <v>973</v>
      </c>
      <c r="M111" s="92">
        <v>20</v>
      </c>
      <c r="N111" s="20" t="s">
        <v>974</v>
      </c>
      <c r="O111"/>
      <c r="P111"/>
    </row>
    <row r="112" spans="1:16" s="58" customFormat="1" ht="15.95" customHeight="1" x14ac:dyDescent="0.25">
      <c r="A112"/>
      <c r="B112"/>
      <c r="C112" s="17">
        <v>50</v>
      </c>
      <c r="D112" s="165" t="s">
        <v>965</v>
      </c>
      <c r="E112" s="165"/>
      <c r="F112" s="165"/>
      <c r="G112" s="165"/>
      <c r="H112" s="70" t="s">
        <v>18</v>
      </c>
      <c r="I112" s="60" t="s">
        <v>19</v>
      </c>
      <c r="J112" s="114" t="s">
        <v>20</v>
      </c>
      <c r="K112" s="165" t="s">
        <v>971</v>
      </c>
      <c r="L112" s="225" t="s">
        <v>973</v>
      </c>
      <c r="M112" s="92">
        <v>20</v>
      </c>
      <c r="N112" s="20" t="s">
        <v>974</v>
      </c>
      <c r="O112"/>
      <c r="P112"/>
    </row>
    <row r="113" spans="1:16" s="58" customFormat="1" ht="15.95" customHeight="1" x14ac:dyDescent="0.25">
      <c r="A113"/>
      <c r="B113"/>
      <c r="C113" s="17">
        <v>51</v>
      </c>
      <c r="D113" s="165" t="s">
        <v>966</v>
      </c>
      <c r="E113" s="165"/>
      <c r="F113" s="165"/>
      <c r="G113" s="165"/>
      <c r="H113" s="70" t="s">
        <v>18</v>
      </c>
      <c r="I113" s="60" t="s">
        <v>19</v>
      </c>
      <c r="J113" s="114" t="s">
        <v>20</v>
      </c>
      <c r="K113" s="165" t="s">
        <v>972</v>
      </c>
      <c r="L113" s="225" t="s">
        <v>973</v>
      </c>
      <c r="M113" s="92">
        <v>20</v>
      </c>
      <c r="N113" s="20" t="s">
        <v>974</v>
      </c>
      <c r="O113"/>
      <c r="P113"/>
    </row>
    <row r="114" spans="1:16" s="58" customFormat="1" ht="15.95" customHeight="1" x14ac:dyDescent="0.25">
      <c r="A114"/>
      <c r="B114"/>
      <c r="C114" s="17">
        <v>52</v>
      </c>
      <c r="D114" s="165" t="s">
        <v>1000</v>
      </c>
      <c r="E114" s="165"/>
      <c r="F114" s="1103"/>
      <c r="G114" s="1080"/>
      <c r="H114" s="23" t="s">
        <v>26</v>
      </c>
      <c r="I114" s="16" t="s">
        <v>975</v>
      </c>
      <c r="J114" s="16" t="s">
        <v>25</v>
      </c>
      <c r="K114" s="17" t="s">
        <v>976</v>
      </c>
      <c r="L114" s="720">
        <v>46913</v>
      </c>
      <c r="M114" s="18">
        <v>8</v>
      </c>
      <c r="N114" s="1088">
        <v>8</v>
      </c>
      <c r="O114"/>
      <c r="P114"/>
    </row>
    <row r="115" spans="1:16" s="58" customFormat="1" ht="15.95" customHeight="1" x14ac:dyDescent="0.25">
      <c r="A115"/>
      <c r="B115"/>
      <c r="C115" s="17">
        <v>53</v>
      </c>
      <c r="D115" s="165" t="s">
        <v>967</v>
      </c>
      <c r="E115" s="165"/>
      <c r="F115" s="165"/>
      <c r="G115" s="165"/>
      <c r="H115" s="23" t="s">
        <v>26</v>
      </c>
      <c r="I115" s="16" t="s">
        <v>975</v>
      </c>
      <c r="J115" s="16" t="s">
        <v>25</v>
      </c>
      <c r="K115" s="17" t="s">
        <v>977</v>
      </c>
      <c r="L115" s="1080">
        <v>48742</v>
      </c>
      <c r="M115" s="92">
        <v>8</v>
      </c>
      <c r="N115" s="92">
        <v>8</v>
      </c>
      <c r="O115"/>
      <c r="P115"/>
    </row>
    <row r="116" spans="1:16" s="58" customFormat="1" ht="15.95" customHeight="1" x14ac:dyDescent="0.25">
      <c r="A116"/>
      <c r="B116"/>
      <c r="C116"/>
      <c r="D116"/>
      <c r="E116"/>
      <c r="F116"/>
      <c r="G116"/>
      <c r="H116" s="1084" t="s">
        <v>987</v>
      </c>
      <c r="I116" s="1085" t="s">
        <v>988</v>
      </c>
      <c r="J116" s="1085"/>
      <c r="K116" s="17"/>
      <c r="L116" s="1080"/>
      <c r="M116" s="92">
        <v>1</v>
      </c>
      <c r="N116" s="92">
        <v>1</v>
      </c>
      <c r="O116"/>
      <c r="P116"/>
    </row>
    <row r="117" spans="1:16" s="58" customFormat="1" ht="15.95" customHeight="1" thickBot="1" x14ac:dyDescent="0.3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 spans="1:16" s="58" customFormat="1" ht="15.95" customHeight="1" x14ac:dyDescent="0.25">
      <c r="A118" s="518">
        <v>25</v>
      </c>
      <c r="B118" s="560" t="s">
        <v>984</v>
      </c>
      <c r="C118" s="17">
        <v>54</v>
      </c>
      <c r="D118" s="847" t="s">
        <v>985</v>
      </c>
      <c r="E118" s="125"/>
      <c r="F118" s="715"/>
      <c r="G118" s="715"/>
      <c r="H118" s="70" t="s">
        <v>18</v>
      </c>
      <c r="I118" s="60" t="s">
        <v>19</v>
      </c>
      <c r="J118" s="114" t="s">
        <v>20</v>
      </c>
      <c r="K118" s="19" t="s">
        <v>986</v>
      </c>
      <c r="L118" s="803" t="s">
        <v>973</v>
      </c>
      <c r="M118" s="25">
        <v>20</v>
      </c>
      <c r="N118" s="20" t="s">
        <v>974</v>
      </c>
      <c r="O118"/>
      <c r="P118"/>
    </row>
    <row r="119" spans="1:16" s="58" customFormat="1" ht="15.95" customHeight="1" x14ac:dyDescent="0.25">
      <c r="A119"/>
      <c r="B119"/>
      <c r="C119"/>
      <c r="D119"/>
      <c r="E119"/>
      <c r="F119"/>
      <c r="G119"/>
      <c r="H119" s="1084" t="s">
        <v>987</v>
      </c>
      <c r="I119" s="1085" t="s">
        <v>988</v>
      </c>
      <c r="J119" s="1085"/>
      <c r="K119" s="17"/>
      <c r="L119" s="1080"/>
      <c r="M119" s="92">
        <v>1</v>
      </c>
      <c r="N119" s="92">
        <v>1</v>
      </c>
      <c r="O119"/>
      <c r="P119"/>
    </row>
    <row r="120" spans="1:16" s="58" customFormat="1" ht="15.95" customHeight="1" thickBot="1" x14ac:dyDescent="0.3">
      <c r="A120" s="101"/>
      <c r="B120" s="66"/>
      <c r="C120" s="6"/>
      <c r="D120" s="96"/>
      <c r="E120" s="34"/>
      <c r="F120" s="828"/>
      <c r="G120" s="939"/>
      <c r="H120" s="62"/>
      <c r="I120" s="63"/>
      <c r="J120" s="68"/>
      <c r="K120" s="46"/>
      <c r="L120" s="27"/>
      <c r="M120" s="37"/>
      <c r="N120" s="46"/>
      <c r="O120"/>
      <c r="P120" s="1000"/>
    </row>
    <row r="121" spans="1:16" s="58" customFormat="1" ht="15.95" customHeight="1" x14ac:dyDescent="0.25">
      <c r="A121" s="518">
        <v>26</v>
      </c>
      <c r="B121" s="548" t="s">
        <v>92</v>
      </c>
      <c r="C121" s="17">
        <v>55</v>
      </c>
      <c r="D121" s="843" t="s">
        <v>93</v>
      </c>
      <c r="E121" s="299" t="s">
        <v>94</v>
      </c>
      <c r="F121" s="723" t="s">
        <v>555</v>
      </c>
      <c r="G121" s="723">
        <v>45571</v>
      </c>
      <c r="H121" s="303" t="s">
        <v>39</v>
      </c>
      <c r="I121" s="303" t="s">
        <v>19</v>
      </c>
      <c r="J121" s="303" t="s">
        <v>40</v>
      </c>
      <c r="K121" s="337">
        <v>30299</v>
      </c>
      <c r="L121" s="300">
        <v>46906</v>
      </c>
      <c r="M121" s="338">
        <v>1</v>
      </c>
      <c r="N121" s="308">
        <v>5</v>
      </c>
      <c r="O121" s="145"/>
      <c r="P121" s="1005" t="s">
        <v>890</v>
      </c>
    </row>
    <row r="122" spans="1:16" s="58" customFormat="1" ht="15.95" customHeight="1" thickBot="1" x14ac:dyDescent="0.3">
      <c r="A122" s="101"/>
      <c r="B122" s="565" t="s">
        <v>95</v>
      </c>
      <c r="C122" s="17">
        <v>56</v>
      </c>
      <c r="D122" s="866" t="s">
        <v>96</v>
      </c>
      <c r="E122" s="127" t="s">
        <v>97</v>
      </c>
      <c r="F122" s="781" t="s">
        <v>557</v>
      </c>
      <c r="G122" s="738">
        <v>46102</v>
      </c>
      <c r="H122" s="60" t="s">
        <v>39</v>
      </c>
      <c r="I122" s="60" t="s">
        <v>19</v>
      </c>
      <c r="J122" s="60" t="s">
        <v>40</v>
      </c>
      <c r="K122" s="20" t="s">
        <v>98</v>
      </c>
      <c r="L122" s="39">
        <v>48717</v>
      </c>
      <c r="M122" s="18">
        <v>3</v>
      </c>
      <c r="N122" s="311">
        <v>5</v>
      </c>
      <c r="O122" s="145"/>
      <c r="P122" s="1005" t="s">
        <v>890</v>
      </c>
    </row>
    <row r="123" spans="1:16" s="58" customFormat="1" ht="15.95" customHeight="1" x14ac:dyDescent="0.25">
      <c r="A123" s="101"/>
      <c r="B123" s="46"/>
      <c r="C123" s="17">
        <v>57</v>
      </c>
      <c r="D123" s="867" t="s">
        <v>99</v>
      </c>
      <c r="E123" s="125" t="s">
        <v>100</v>
      </c>
      <c r="F123" s="754" t="s">
        <v>101</v>
      </c>
      <c r="G123" s="739">
        <v>45371</v>
      </c>
      <c r="H123" s="67" t="s">
        <v>102</v>
      </c>
      <c r="I123" s="67" t="s">
        <v>19</v>
      </c>
      <c r="J123" s="67" t="s">
        <v>103</v>
      </c>
      <c r="K123" s="20">
        <v>924778</v>
      </c>
      <c r="L123" s="39">
        <v>46913</v>
      </c>
      <c r="M123" s="18">
        <v>4</v>
      </c>
      <c r="N123" s="311">
        <v>5</v>
      </c>
      <c r="O123" s="145"/>
      <c r="P123" s="1005" t="s">
        <v>886</v>
      </c>
    </row>
    <row r="124" spans="1:16" s="58" customFormat="1" ht="15.95" customHeight="1" x14ac:dyDescent="0.25">
      <c r="A124" s="101"/>
      <c r="B124" s="46"/>
      <c r="C124" s="17">
        <v>58</v>
      </c>
      <c r="D124" s="867" t="s">
        <v>104</v>
      </c>
      <c r="E124" s="125" t="s">
        <v>105</v>
      </c>
      <c r="F124" s="780" t="s">
        <v>662</v>
      </c>
      <c r="G124" s="739"/>
      <c r="H124" s="59" t="s">
        <v>39</v>
      </c>
      <c r="I124" s="60" t="s">
        <v>19</v>
      </c>
      <c r="J124" s="67" t="s">
        <v>103</v>
      </c>
      <c r="K124" s="20">
        <v>1088932</v>
      </c>
      <c r="L124" s="39">
        <v>47345</v>
      </c>
      <c r="M124" s="18">
        <v>5</v>
      </c>
      <c r="N124" s="311">
        <v>5</v>
      </c>
      <c r="O124" s="145"/>
      <c r="P124" s="1005" t="s">
        <v>890</v>
      </c>
    </row>
    <row r="125" spans="1:16" s="58" customFormat="1" ht="15.95" customHeight="1" x14ac:dyDescent="0.25">
      <c r="A125" s="101"/>
      <c r="B125" s="46"/>
      <c r="C125" s="17">
        <v>59</v>
      </c>
      <c r="D125" s="867" t="s">
        <v>633</v>
      </c>
      <c r="E125" s="125">
        <v>9442215545</v>
      </c>
      <c r="F125" s="780" t="s">
        <v>778</v>
      </c>
      <c r="G125" s="739">
        <v>47017</v>
      </c>
      <c r="H125" s="67" t="s">
        <v>39</v>
      </c>
      <c r="I125" s="67" t="s">
        <v>19</v>
      </c>
      <c r="J125" s="67" t="s">
        <v>103</v>
      </c>
      <c r="K125" s="13">
        <v>886043</v>
      </c>
      <c r="L125" s="39">
        <v>47345</v>
      </c>
      <c r="M125" s="18">
        <v>5</v>
      </c>
      <c r="N125" s="311">
        <v>5</v>
      </c>
      <c r="O125" s="145"/>
      <c r="P125" s="1005" t="s">
        <v>890</v>
      </c>
    </row>
    <row r="126" spans="1:16" s="58" customFormat="1" ht="15.95" customHeight="1" x14ac:dyDescent="0.25">
      <c r="A126" s="101"/>
      <c r="B126" s="46"/>
      <c r="C126" s="17">
        <v>60</v>
      </c>
      <c r="D126" s="867" t="s">
        <v>861</v>
      </c>
      <c r="E126" s="125">
        <v>9362062902</v>
      </c>
      <c r="F126" s="754"/>
      <c r="G126" s="739"/>
      <c r="H126" s="67"/>
      <c r="I126" s="166" t="s">
        <v>107</v>
      </c>
      <c r="J126" s="67"/>
      <c r="K126" s="20"/>
      <c r="L126" s="39"/>
      <c r="M126" s="18"/>
      <c r="N126" s="311"/>
      <c r="O126" s="145"/>
      <c r="P126" s="1005"/>
    </row>
    <row r="127" spans="1:16" s="58" customFormat="1" ht="15.95" customHeight="1" x14ac:dyDescent="0.25">
      <c r="A127" s="101"/>
      <c r="B127" s="46"/>
      <c r="C127" s="17">
        <v>61</v>
      </c>
      <c r="D127" s="867" t="s">
        <v>108</v>
      </c>
      <c r="E127" s="125">
        <v>9197006415</v>
      </c>
      <c r="F127" s="761" t="s">
        <v>556</v>
      </c>
      <c r="G127" s="739">
        <v>46048</v>
      </c>
      <c r="H127" s="60" t="s">
        <v>39</v>
      </c>
      <c r="I127" s="60" t="s">
        <v>19</v>
      </c>
      <c r="J127" s="60" t="s">
        <v>40</v>
      </c>
      <c r="K127" s="20">
        <v>886045</v>
      </c>
      <c r="L127" s="39">
        <v>47345</v>
      </c>
      <c r="M127" s="18">
        <v>4</v>
      </c>
      <c r="N127" s="311">
        <v>5</v>
      </c>
      <c r="O127" s="145"/>
      <c r="P127" s="1005" t="s">
        <v>890</v>
      </c>
    </row>
    <row r="128" spans="1:16" s="58" customFormat="1" ht="15.95" customHeight="1" x14ac:dyDescent="0.25">
      <c r="A128" s="101"/>
      <c r="B128" s="46"/>
      <c r="C128" s="17">
        <v>62</v>
      </c>
      <c r="D128" s="867" t="s">
        <v>673</v>
      </c>
      <c r="E128" s="125">
        <v>9088184444</v>
      </c>
      <c r="F128" s="754"/>
      <c r="G128" s="740"/>
      <c r="H128" s="59" t="s">
        <v>26</v>
      </c>
      <c r="I128" s="60" t="s">
        <v>19</v>
      </c>
      <c r="J128" s="67" t="s">
        <v>25</v>
      </c>
      <c r="K128" s="20">
        <v>133707</v>
      </c>
      <c r="L128" s="39">
        <v>47346</v>
      </c>
      <c r="M128" s="18">
        <v>4</v>
      </c>
      <c r="N128" s="311">
        <v>5</v>
      </c>
      <c r="O128" s="145"/>
      <c r="P128" s="1006" t="s">
        <v>893</v>
      </c>
    </row>
    <row r="129" spans="1:20" s="58" customFormat="1" ht="15.95" customHeight="1" x14ac:dyDescent="0.25">
      <c r="A129" s="101"/>
      <c r="B129" s="46"/>
      <c r="C129" s="17">
        <v>63</v>
      </c>
      <c r="D129" s="867" t="s">
        <v>109</v>
      </c>
      <c r="E129" s="125" t="s">
        <v>110</v>
      </c>
      <c r="F129" s="754" t="s">
        <v>525</v>
      </c>
      <c r="G129" s="739">
        <v>45909</v>
      </c>
      <c r="H129" s="67" t="s">
        <v>111</v>
      </c>
      <c r="I129" s="67"/>
      <c r="J129" s="67"/>
      <c r="K129" s="20"/>
      <c r="L129" s="39"/>
      <c r="M129" s="18">
        <v>9</v>
      </c>
      <c r="N129" s="311">
        <v>9</v>
      </c>
      <c r="O129" s="145"/>
      <c r="P129" s="1000"/>
    </row>
    <row r="130" spans="1:20" s="58" customFormat="1" ht="15.95" customHeight="1" x14ac:dyDescent="0.25">
      <c r="A130" s="101"/>
      <c r="B130" s="46"/>
      <c r="C130" s="17">
        <v>64</v>
      </c>
      <c r="D130" s="867" t="s">
        <v>112</v>
      </c>
      <c r="E130" s="125" t="s">
        <v>113</v>
      </c>
      <c r="F130" s="761" t="s">
        <v>558</v>
      </c>
      <c r="G130" s="739">
        <v>45842</v>
      </c>
      <c r="H130" s="67" t="s">
        <v>114</v>
      </c>
      <c r="I130" s="67"/>
      <c r="J130" s="67"/>
      <c r="K130" s="20"/>
      <c r="L130" s="39"/>
      <c r="M130" s="18">
        <v>1</v>
      </c>
      <c r="N130" s="350"/>
      <c r="O130" s="145"/>
      <c r="P130" s="1000"/>
    </row>
    <row r="131" spans="1:20" s="58" customFormat="1" ht="15.95" customHeight="1" x14ac:dyDescent="0.25">
      <c r="A131" s="101"/>
      <c r="B131" s="46"/>
      <c r="C131" s="17">
        <v>65</v>
      </c>
      <c r="D131" s="866" t="s">
        <v>585</v>
      </c>
      <c r="E131" s="125">
        <v>9357590856</v>
      </c>
      <c r="F131" s="929" t="s">
        <v>853</v>
      </c>
      <c r="G131" s="931">
        <v>47232</v>
      </c>
      <c r="H131" s="72"/>
      <c r="I131" s="991"/>
      <c r="J131" s="991"/>
      <c r="K131" s="27"/>
      <c r="L131" s="8"/>
      <c r="M131" s="37"/>
      <c r="N131" s="568"/>
      <c r="O131" s="145"/>
      <c r="P131" s="1000"/>
    </row>
    <row r="132" spans="1:20" s="58" customFormat="1" ht="15.95" customHeight="1" x14ac:dyDescent="0.25">
      <c r="A132" s="101"/>
      <c r="B132" s="46"/>
      <c r="C132" s="17">
        <v>66</v>
      </c>
      <c r="D132" s="867" t="s">
        <v>597</v>
      </c>
      <c r="E132" s="125">
        <v>9813771913</v>
      </c>
      <c r="F132" s="782" t="s">
        <v>598</v>
      </c>
      <c r="G132" s="739">
        <v>45475</v>
      </c>
      <c r="H132" s="72"/>
      <c r="I132" s="68"/>
      <c r="J132" s="68"/>
      <c r="K132" s="46"/>
      <c r="L132" s="8"/>
      <c r="M132" s="37"/>
      <c r="N132" s="569"/>
      <c r="O132" s="145"/>
      <c r="P132" s="1000"/>
      <c r="R132" s="91"/>
      <c r="S132" s="92"/>
      <c r="T132" s="92"/>
    </row>
    <row r="133" spans="1:20" s="58" customFormat="1" ht="15.95" customHeight="1" x14ac:dyDescent="0.25">
      <c r="A133" s="101"/>
      <c r="B133" s="46"/>
      <c r="C133" s="17">
        <v>67</v>
      </c>
      <c r="D133" s="712" t="s">
        <v>954</v>
      </c>
      <c r="E133" s="125">
        <v>9506927756</v>
      </c>
      <c r="F133" s="125" t="s">
        <v>516</v>
      </c>
      <c r="G133" s="715">
        <v>45970</v>
      </c>
      <c r="H133" s="72"/>
      <c r="I133" s="68"/>
      <c r="J133" s="68"/>
      <c r="K133" s="46"/>
      <c r="L133" s="8"/>
      <c r="M133" s="37"/>
      <c r="N133" s="569"/>
      <c r="O133" s="145"/>
      <c r="P133" s="1000"/>
    </row>
    <row r="134" spans="1:20" s="92" customFormat="1" ht="15.95" customHeight="1" x14ac:dyDescent="0.25">
      <c r="A134" s="101"/>
      <c r="B134" s="46"/>
      <c r="C134" s="17">
        <v>68</v>
      </c>
      <c r="D134" s="867" t="s">
        <v>115</v>
      </c>
      <c r="E134" s="125" t="s">
        <v>116</v>
      </c>
      <c r="F134" s="754" t="s">
        <v>117</v>
      </c>
      <c r="G134" s="739">
        <v>45516</v>
      </c>
      <c r="H134" s="72"/>
      <c r="I134" s="68"/>
      <c r="J134" s="68"/>
      <c r="K134" s="46"/>
      <c r="L134" s="8"/>
      <c r="M134" s="37"/>
      <c r="N134" s="569"/>
      <c r="O134" s="145"/>
      <c r="P134" s="1000"/>
      <c r="Q134" s="58"/>
      <c r="R134" s="91"/>
    </row>
    <row r="135" spans="1:20" s="58" customFormat="1" ht="15.95" customHeight="1" x14ac:dyDescent="0.25">
      <c r="A135" s="101"/>
      <c r="B135" s="46"/>
      <c r="C135" s="17">
        <v>69</v>
      </c>
      <c r="D135" s="867" t="s">
        <v>118</v>
      </c>
      <c r="E135" s="125" t="s">
        <v>119</v>
      </c>
      <c r="F135" s="754" t="s">
        <v>554</v>
      </c>
      <c r="G135" s="739">
        <v>45571</v>
      </c>
      <c r="H135" s="72"/>
      <c r="I135" s="68"/>
      <c r="J135" s="68"/>
      <c r="K135" s="46"/>
      <c r="L135" s="8"/>
      <c r="M135" s="37"/>
      <c r="N135" s="569"/>
      <c r="O135" s="145"/>
      <c r="P135" s="1000"/>
    </row>
    <row r="136" spans="1:20" s="92" customFormat="1" ht="15.95" customHeight="1" x14ac:dyDescent="0.25">
      <c r="A136" s="101"/>
      <c r="B136" s="46"/>
      <c r="C136" s="17">
        <v>70</v>
      </c>
      <c r="D136" s="867" t="s">
        <v>120</v>
      </c>
      <c r="E136" s="125">
        <v>9059466646</v>
      </c>
      <c r="F136" s="782" t="s">
        <v>589</v>
      </c>
      <c r="G136" s="739">
        <v>46972</v>
      </c>
      <c r="H136" s="72"/>
      <c r="I136" s="68"/>
      <c r="J136" s="68"/>
      <c r="K136" s="46"/>
      <c r="L136" s="8"/>
      <c r="M136" s="37"/>
      <c r="N136" s="569"/>
      <c r="O136" s="145"/>
      <c r="P136" s="1000"/>
      <c r="Q136" s="58"/>
      <c r="R136" s="58"/>
      <c r="S136" s="58"/>
      <c r="T136" s="58"/>
    </row>
    <row r="137" spans="1:20" s="58" customFormat="1" ht="15.95" customHeight="1" x14ac:dyDescent="0.25">
      <c r="A137" s="6"/>
      <c r="B137" s="79"/>
      <c r="C137" s="17">
        <v>71</v>
      </c>
      <c r="D137" s="867" t="s">
        <v>774</v>
      </c>
      <c r="E137" s="217">
        <v>9358947630</v>
      </c>
      <c r="F137" s="809" t="s">
        <v>775</v>
      </c>
      <c r="G137" s="740">
        <v>46934</v>
      </c>
      <c r="H137" s="950"/>
      <c r="I137" s="88"/>
      <c r="J137" s="88"/>
      <c r="K137" s="87"/>
      <c r="L137" s="207"/>
      <c r="M137" s="179"/>
      <c r="N137" s="951"/>
      <c r="O137" s="145"/>
      <c r="P137" s="1000"/>
    </row>
    <row r="138" spans="1:20" s="58" customFormat="1" ht="15.95" customHeight="1" x14ac:dyDescent="0.25">
      <c r="A138" s="6"/>
      <c r="B138" s="79"/>
      <c r="C138" s="17">
        <v>72</v>
      </c>
      <c r="D138" s="1075" t="s">
        <v>948</v>
      </c>
      <c r="E138" s="975">
        <v>9656588949</v>
      </c>
      <c r="F138" s="976"/>
      <c r="G138" s="759"/>
      <c r="H138" s="62"/>
      <c r="I138" s="63"/>
      <c r="J138" s="63"/>
      <c r="K138" s="46"/>
      <c r="L138" s="112"/>
      <c r="M138" s="32"/>
      <c r="N138" s="569"/>
      <c r="O138" s="145"/>
      <c r="P138" s="1000"/>
    </row>
    <row r="139" spans="1:20" s="58" customFormat="1" ht="15.95" customHeight="1" x14ac:dyDescent="0.25">
      <c r="A139" s="6"/>
      <c r="B139" s="79"/>
      <c r="C139" s="17">
        <v>73</v>
      </c>
      <c r="D139" s="850" t="s">
        <v>871</v>
      </c>
      <c r="E139" s="986">
        <v>9362062902</v>
      </c>
      <c r="F139" s="987"/>
      <c r="G139" s="752"/>
      <c r="H139" s="988"/>
      <c r="I139" s="77"/>
      <c r="J139" s="77"/>
      <c r="K139" s="78"/>
      <c r="L139" s="989"/>
      <c r="M139" s="990"/>
      <c r="N139" s="568"/>
      <c r="O139" s="145"/>
      <c r="P139" s="1000"/>
    </row>
    <row r="140" spans="1:20" s="58" customFormat="1" ht="15.95" customHeight="1" thickBot="1" x14ac:dyDescent="0.3">
      <c r="A140" s="6"/>
      <c r="B140" s="79"/>
      <c r="C140" s="17">
        <v>74</v>
      </c>
      <c r="D140" s="1076" t="s">
        <v>875</v>
      </c>
      <c r="E140" s="567">
        <v>9513837907</v>
      </c>
      <c r="F140" s="796" t="s">
        <v>876</v>
      </c>
      <c r="G140" s="745">
        <v>45871</v>
      </c>
      <c r="H140" s="966"/>
      <c r="I140" s="632"/>
      <c r="J140" s="632"/>
      <c r="K140" s="967"/>
      <c r="L140" s="635"/>
      <c r="M140" s="636"/>
      <c r="N140" s="993"/>
      <c r="O140" s="145"/>
      <c r="P140" s="1000"/>
    </row>
    <row r="141" spans="1:20" s="58" customFormat="1" ht="15.95" customHeight="1" thickBot="1" x14ac:dyDescent="0.3">
      <c r="A141" s="6"/>
      <c r="B141" s="79"/>
      <c r="C141" s="1066"/>
      <c r="D141" s="866"/>
      <c r="E141" s="125"/>
      <c r="F141" s="929"/>
      <c r="G141" s="931"/>
      <c r="H141" s="1065"/>
      <c r="I141" s="1064"/>
      <c r="J141" s="1064"/>
      <c r="K141" s="1061"/>
      <c r="L141" s="1063"/>
      <c r="M141" s="1062"/>
      <c r="N141" s="1061"/>
      <c r="O141" s="145"/>
      <c r="P141" s="1000"/>
    </row>
    <row r="142" spans="1:20" s="58" customFormat="1" ht="15.95" customHeight="1" thickBot="1" x14ac:dyDescent="0.3">
      <c r="A142" s="6"/>
      <c r="B142" s="66"/>
      <c r="C142" s="6"/>
      <c r="D142" s="31"/>
      <c r="E142" s="285"/>
      <c r="F142" s="691"/>
      <c r="G142" s="742"/>
      <c r="H142" s="62"/>
      <c r="I142" s="63"/>
      <c r="J142" s="63"/>
      <c r="K142" s="46"/>
      <c r="L142" s="112"/>
      <c r="M142" s="32"/>
      <c r="N142" s="46"/>
      <c r="O142" s="145"/>
      <c r="P142" s="1000"/>
    </row>
    <row r="143" spans="1:20" s="58" customFormat="1" ht="15.95" customHeight="1" x14ac:dyDescent="0.25">
      <c r="A143" s="518">
        <v>27</v>
      </c>
      <c r="B143" s="347" t="s">
        <v>121</v>
      </c>
      <c r="C143" s="17">
        <v>75</v>
      </c>
      <c r="D143" s="853" t="s">
        <v>122</v>
      </c>
      <c r="E143" s="299" t="s">
        <v>123</v>
      </c>
      <c r="F143" s="784" t="s">
        <v>124</v>
      </c>
      <c r="G143" s="714">
        <v>45500</v>
      </c>
      <c r="H143" s="575"/>
      <c r="I143" s="576"/>
      <c r="J143" s="577"/>
      <c r="K143" s="578"/>
      <c r="L143" s="579"/>
      <c r="M143" s="580"/>
      <c r="N143" s="581"/>
      <c r="O143" s="145"/>
      <c r="P143" s="1000"/>
    </row>
    <row r="144" spans="1:20" s="58" customFormat="1" ht="15.95" customHeight="1" x14ac:dyDescent="0.25">
      <c r="A144" s="101"/>
      <c r="B144" s="573" t="s">
        <v>125</v>
      </c>
      <c r="C144" s="17">
        <v>76</v>
      </c>
      <c r="D144" s="868" t="s">
        <v>931</v>
      </c>
      <c r="E144" s="125"/>
      <c r="F144" s="754"/>
      <c r="G144" s="739"/>
      <c r="H144" s="59" t="s">
        <v>26</v>
      </c>
      <c r="I144" s="60" t="s">
        <v>19</v>
      </c>
      <c r="J144" s="60" t="s">
        <v>40</v>
      </c>
      <c r="K144" s="20">
        <v>919692</v>
      </c>
      <c r="L144" s="95" t="s">
        <v>296</v>
      </c>
      <c r="M144" s="25">
        <v>5</v>
      </c>
      <c r="N144" s="582">
        <v>5</v>
      </c>
      <c r="O144" s="145"/>
      <c r="P144" s="1006" t="s">
        <v>886</v>
      </c>
    </row>
    <row r="145" spans="1:20" s="58" customFormat="1" ht="15.95" customHeight="1" thickBot="1" x14ac:dyDescent="0.3">
      <c r="A145" s="101"/>
      <c r="B145" s="574" t="s">
        <v>127</v>
      </c>
      <c r="C145" s="17">
        <v>77</v>
      </c>
      <c r="D145" s="868" t="s">
        <v>923</v>
      </c>
      <c r="E145" s="125">
        <v>9365872106</v>
      </c>
      <c r="F145" s="780" t="s">
        <v>924</v>
      </c>
      <c r="G145" s="740">
        <v>47142</v>
      </c>
      <c r="H145" s="60" t="s">
        <v>39</v>
      </c>
      <c r="I145" s="60" t="s">
        <v>19</v>
      </c>
      <c r="J145" s="67" t="s">
        <v>25</v>
      </c>
      <c r="K145" s="20">
        <v>931109</v>
      </c>
      <c r="L145" s="95">
        <v>48723</v>
      </c>
      <c r="M145" s="25">
        <v>5</v>
      </c>
      <c r="N145" s="311">
        <v>5</v>
      </c>
      <c r="O145" s="145"/>
      <c r="P145" s="1006" t="s">
        <v>886</v>
      </c>
    </row>
    <row r="146" spans="1:20" s="58" customFormat="1" ht="15.95" customHeight="1" x14ac:dyDescent="0.25">
      <c r="A146" s="101"/>
      <c r="B146" s="66"/>
      <c r="C146" s="17">
        <v>78</v>
      </c>
      <c r="D146" s="867" t="s">
        <v>128</v>
      </c>
      <c r="E146" s="125" t="s">
        <v>129</v>
      </c>
      <c r="F146" s="754" t="s">
        <v>630</v>
      </c>
      <c r="G146" s="739">
        <v>46958</v>
      </c>
      <c r="H146" s="60" t="s">
        <v>39</v>
      </c>
      <c r="I146" s="74" t="s">
        <v>19</v>
      </c>
      <c r="J146" s="74" t="s">
        <v>40</v>
      </c>
      <c r="K146" s="75">
        <v>20618</v>
      </c>
      <c r="L146" s="206">
        <v>46906</v>
      </c>
      <c r="M146" s="76">
        <v>5</v>
      </c>
      <c r="N146" s="350">
        <v>5</v>
      </c>
      <c r="O146" s="145"/>
      <c r="P146" s="1006" t="s">
        <v>890</v>
      </c>
    </row>
    <row r="147" spans="1:20" s="58" customFormat="1" ht="15.95" customHeight="1" thickBot="1" x14ac:dyDescent="0.3">
      <c r="A147" s="101"/>
      <c r="B147" s="66"/>
      <c r="C147" s="17">
        <v>79</v>
      </c>
      <c r="D147" s="868" t="s">
        <v>471</v>
      </c>
      <c r="E147" s="315">
        <v>9355300851</v>
      </c>
      <c r="F147" s="754" t="s">
        <v>478</v>
      </c>
      <c r="G147" s="739">
        <v>45605</v>
      </c>
      <c r="H147" s="60" t="s">
        <v>39</v>
      </c>
      <c r="I147" s="60" t="s">
        <v>19</v>
      </c>
      <c r="J147" s="60" t="s">
        <v>201</v>
      </c>
      <c r="K147" s="20">
        <v>931028</v>
      </c>
      <c r="L147" s="39">
        <v>48723</v>
      </c>
      <c r="M147" s="18">
        <v>5</v>
      </c>
      <c r="N147" s="311">
        <v>5</v>
      </c>
      <c r="O147" s="145"/>
      <c r="P147" s="1006" t="s">
        <v>886</v>
      </c>
      <c r="R147" s="123"/>
      <c r="S147" s="719"/>
      <c r="T147" s="742"/>
    </row>
    <row r="148" spans="1:20" s="58" customFormat="1" ht="15.95" customHeight="1" x14ac:dyDescent="0.25">
      <c r="A148" s="101"/>
      <c r="B148" s="6"/>
      <c r="C148" s="17">
        <v>80</v>
      </c>
      <c r="D148" s="897" t="s">
        <v>600</v>
      </c>
      <c r="E148" s="299">
        <v>9386992752</v>
      </c>
      <c r="F148" s="555" t="s">
        <v>645</v>
      </c>
      <c r="G148" s="728">
        <v>46124</v>
      </c>
      <c r="H148" s="60" t="s">
        <v>508</v>
      </c>
      <c r="I148" s="60"/>
      <c r="J148" s="60"/>
      <c r="K148" s="20"/>
      <c r="L148" s="39"/>
      <c r="M148" s="18">
        <v>3</v>
      </c>
      <c r="N148" s="311">
        <v>3</v>
      </c>
      <c r="O148" s="145"/>
      <c r="P148" s="1000"/>
    </row>
    <row r="149" spans="1:20" s="58" customFormat="1" ht="15.95" customHeight="1" x14ac:dyDescent="0.25">
      <c r="A149" s="101"/>
      <c r="B149" s="6"/>
      <c r="C149" s="17">
        <v>81</v>
      </c>
      <c r="D149" s="855" t="s">
        <v>126</v>
      </c>
      <c r="E149" s="217">
        <v>9352648525</v>
      </c>
      <c r="F149" s="735" t="s">
        <v>780</v>
      </c>
      <c r="G149" s="743">
        <v>47064</v>
      </c>
      <c r="H149" s="60" t="s">
        <v>507</v>
      </c>
      <c r="I149" s="60"/>
      <c r="J149" s="67"/>
      <c r="K149" s="81" t="s">
        <v>296</v>
      </c>
      <c r="L149" s="95"/>
      <c r="M149" s="25">
        <v>1</v>
      </c>
      <c r="N149" s="311">
        <v>1</v>
      </c>
      <c r="O149" s="145"/>
      <c r="P149" s="1000"/>
    </row>
    <row r="150" spans="1:20" s="58" customFormat="1" ht="15.95" customHeight="1" thickBot="1" x14ac:dyDescent="0.3">
      <c r="A150" s="101"/>
      <c r="B150" s="6"/>
      <c r="C150" s="313"/>
      <c r="D150" s="869"/>
      <c r="E150" s="481"/>
      <c r="F150" s="755"/>
      <c r="G150" s="744"/>
      <c r="H150" s="319" t="s">
        <v>114</v>
      </c>
      <c r="I150" s="319"/>
      <c r="J150" s="564"/>
      <c r="K150" s="358"/>
      <c r="L150" s="342"/>
      <c r="M150" s="343">
        <v>2</v>
      </c>
      <c r="N150" s="323">
        <v>2</v>
      </c>
      <c r="O150" s="145"/>
      <c r="P150" s="1000"/>
    </row>
    <row r="151" spans="1:20" s="58" customFormat="1" ht="15.95" customHeight="1" thickBot="1" x14ac:dyDescent="0.3">
      <c r="A151" s="101"/>
      <c r="B151" s="6"/>
      <c r="C151" s="6"/>
      <c r="D151" s="31"/>
      <c r="E151" s="123"/>
      <c r="F151" s="734"/>
      <c r="G151" s="734"/>
      <c r="H151" s="63"/>
      <c r="I151" s="63"/>
      <c r="J151" s="68"/>
      <c r="K151" s="79"/>
      <c r="L151" s="112"/>
      <c r="M151" s="32"/>
      <c r="N151" s="46"/>
      <c r="O151" s="145"/>
      <c r="P151" s="1000"/>
    </row>
    <row r="152" spans="1:20" s="58" customFormat="1" ht="15" customHeight="1" thickBot="1" x14ac:dyDescent="0.3">
      <c r="A152" s="518">
        <v>28</v>
      </c>
      <c r="B152" s="293" t="s">
        <v>154</v>
      </c>
      <c r="C152" s="17">
        <v>82</v>
      </c>
      <c r="D152" s="870" t="s">
        <v>155</v>
      </c>
      <c r="E152" s="299">
        <v>9525575094</v>
      </c>
      <c r="F152" s="728" t="s">
        <v>510</v>
      </c>
      <c r="G152" s="723">
        <v>45689</v>
      </c>
      <c r="H152" s="366"/>
      <c r="I152" s="366"/>
      <c r="J152" s="366"/>
      <c r="K152" s="366"/>
      <c r="L152" s="367"/>
      <c r="M152" s="366"/>
      <c r="N152" s="368"/>
      <c r="O152" s="145"/>
      <c r="P152" s="1000"/>
    </row>
    <row r="153" spans="1:20" s="58" customFormat="1" ht="15" customHeight="1" x14ac:dyDescent="0.25">
      <c r="A153" s="101"/>
      <c r="B153" s="573" t="s">
        <v>156</v>
      </c>
      <c r="C153" s="17">
        <v>83</v>
      </c>
      <c r="D153" s="843" t="s">
        <v>951</v>
      </c>
      <c r="E153" s="299"/>
      <c r="F153" s="773"/>
      <c r="G153" s="730"/>
      <c r="H153" s="92" t="s">
        <v>39</v>
      </c>
      <c r="I153" s="92" t="s">
        <v>19</v>
      </c>
      <c r="J153" s="92" t="s">
        <v>157</v>
      </c>
      <c r="K153" s="92">
        <v>883195</v>
      </c>
      <c r="L153" s="208">
        <v>47345</v>
      </c>
      <c r="M153" s="92">
        <v>5</v>
      </c>
      <c r="N153" s="583">
        <v>5</v>
      </c>
      <c r="O153" s="145"/>
      <c r="P153" s="1006" t="s">
        <v>890</v>
      </c>
    </row>
    <row r="154" spans="1:20" s="58" customFormat="1" ht="15.95" customHeight="1" thickBot="1" x14ac:dyDescent="0.3">
      <c r="A154" s="6"/>
      <c r="B154" s="349"/>
      <c r="C154" s="17">
        <v>84</v>
      </c>
      <c r="D154" s="871" t="s">
        <v>473</v>
      </c>
      <c r="E154" s="315">
        <v>9355300851</v>
      </c>
      <c r="F154" s="722" t="s">
        <v>158</v>
      </c>
      <c r="G154" s="737">
        <v>45207</v>
      </c>
      <c r="H154" s="584"/>
      <c r="I154" s="584"/>
      <c r="J154" s="584"/>
      <c r="K154" s="584"/>
      <c r="L154" s="585"/>
      <c r="M154" s="584"/>
      <c r="N154" s="586"/>
      <c r="O154" s="145"/>
      <c r="P154" s="1000"/>
    </row>
    <row r="155" spans="1:20" s="58" customFormat="1" ht="15.95" customHeight="1" thickBot="1" x14ac:dyDescent="0.3">
      <c r="A155" s="6"/>
      <c r="B155" s="66"/>
      <c r="C155" s="6"/>
      <c r="D155" s="79"/>
      <c r="E155" s="123"/>
      <c r="F155" s="719"/>
      <c r="G155" s="734"/>
      <c r="L155" s="145"/>
      <c r="O155" s="145"/>
      <c r="P155" s="1000"/>
    </row>
    <row r="156" spans="1:20" s="58" customFormat="1" ht="15.95" customHeight="1" x14ac:dyDescent="0.25">
      <c r="A156" s="518">
        <v>29</v>
      </c>
      <c r="B156" s="293" t="s">
        <v>154</v>
      </c>
      <c r="C156" s="17">
        <v>85</v>
      </c>
      <c r="D156" s="872" t="s">
        <v>159</v>
      </c>
      <c r="E156" s="299">
        <v>9615169707</v>
      </c>
      <c r="F156" s="728" t="s">
        <v>660</v>
      </c>
      <c r="G156" s="716">
        <v>47181</v>
      </c>
      <c r="H156" s="366"/>
      <c r="I156" s="366"/>
      <c r="J156" s="366"/>
      <c r="K156" s="366"/>
      <c r="L156" s="367"/>
      <c r="M156" s="366"/>
      <c r="N156" s="368"/>
      <c r="O156" s="145"/>
      <c r="P156" s="1000"/>
    </row>
    <row r="157" spans="1:20" s="58" customFormat="1" ht="15.95" customHeight="1" x14ac:dyDescent="0.25">
      <c r="A157" s="101"/>
      <c r="B157" s="587" t="s">
        <v>160</v>
      </c>
      <c r="C157" s="17">
        <v>86</v>
      </c>
      <c r="D157" s="868" t="s">
        <v>365</v>
      </c>
      <c r="E157" s="20" t="s">
        <v>366</v>
      </c>
      <c r="F157" s="785" t="s">
        <v>680</v>
      </c>
      <c r="G157" s="739">
        <v>47158</v>
      </c>
      <c r="H157" s="92" t="s">
        <v>39</v>
      </c>
      <c r="I157" s="92" t="s">
        <v>19</v>
      </c>
      <c r="J157" s="92" t="s">
        <v>157</v>
      </c>
      <c r="K157" s="92">
        <v>931024</v>
      </c>
      <c r="L157" s="208">
        <v>46913</v>
      </c>
      <c r="M157" s="92">
        <v>5</v>
      </c>
      <c r="N157" s="583">
        <v>5</v>
      </c>
      <c r="O157" s="145"/>
      <c r="P157" s="1006" t="s">
        <v>886</v>
      </c>
    </row>
    <row r="158" spans="1:20" s="58" customFormat="1" ht="15.95" customHeight="1" thickBot="1" x14ac:dyDescent="0.3">
      <c r="A158" s="101"/>
      <c r="B158" s="565" t="s">
        <v>135</v>
      </c>
      <c r="C158" s="17">
        <v>87</v>
      </c>
      <c r="D158" s="871" t="s">
        <v>476</v>
      </c>
      <c r="E158" s="315">
        <v>9362038225</v>
      </c>
      <c r="F158" s="315" t="s">
        <v>515</v>
      </c>
      <c r="G158" s="737">
        <v>45752</v>
      </c>
      <c r="H158" s="584" t="s">
        <v>488</v>
      </c>
      <c r="I158" s="584"/>
      <c r="J158" s="584"/>
      <c r="K158" s="584"/>
      <c r="L158" s="585"/>
      <c r="M158" s="584"/>
      <c r="N158" s="586"/>
      <c r="O158" s="145"/>
      <c r="P158" s="1000"/>
    </row>
    <row r="159" spans="1:20" s="58" customFormat="1" ht="15.95" customHeight="1" thickBot="1" x14ac:dyDescent="0.3">
      <c r="A159" s="101"/>
      <c r="B159" s="27"/>
      <c r="C159" s="6"/>
      <c r="D159" s="79"/>
      <c r="E159" s="123"/>
      <c r="F159" s="123"/>
      <c r="G159" s="734"/>
      <c r="L159" s="145"/>
      <c r="O159" s="145"/>
      <c r="P159" s="1000"/>
    </row>
    <row r="160" spans="1:20" s="58" customFormat="1" ht="15.95" customHeight="1" x14ac:dyDescent="0.25">
      <c r="A160" s="518">
        <v>30</v>
      </c>
      <c r="B160" s="293" t="s">
        <v>161</v>
      </c>
      <c r="C160" s="17">
        <v>88</v>
      </c>
      <c r="D160" s="843" t="s">
        <v>162</v>
      </c>
      <c r="E160" s="299">
        <v>9554715666</v>
      </c>
      <c r="F160" s="728" t="s">
        <v>781</v>
      </c>
      <c r="G160" s="723">
        <v>47198</v>
      </c>
      <c r="H160" s="366"/>
      <c r="I160" s="366"/>
      <c r="J160" s="366"/>
      <c r="K160" s="366"/>
      <c r="L160" s="367"/>
      <c r="M160" s="366"/>
      <c r="N160" s="368"/>
      <c r="O160" s="145"/>
      <c r="P160" s="1000"/>
    </row>
    <row r="161" spans="1:16" s="58" customFormat="1" ht="15.95" customHeight="1" x14ac:dyDescent="0.25">
      <c r="A161" s="101"/>
      <c r="B161" s="587" t="s">
        <v>160</v>
      </c>
      <c r="C161" s="17">
        <v>89</v>
      </c>
      <c r="D161" s="847" t="s">
        <v>163</v>
      </c>
      <c r="E161" s="125" t="s">
        <v>164</v>
      </c>
      <c r="F161" s="715" t="s">
        <v>165</v>
      </c>
      <c r="G161" s="715" t="s">
        <v>551</v>
      </c>
      <c r="H161" s="60" t="s">
        <v>39</v>
      </c>
      <c r="I161" s="60" t="s">
        <v>19</v>
      </c>
      <c r="J161" s="60" t="s">
        <v>157</v>
      </c>
      <c r="K161" s="61">
        <v>1084837</v>
      </c>
      <c r="L161" s="208">
        <v>47345</v>
      </c>
      <c r="M161" s="18">
        <v>8</v>
      </c>
      <c r="N161" s="311">
        <v>5</v>
      </c>
      <c r="O161" s="145"/>
      <c r="P161" s="1006" t="s">
        <v>890</v>
      </c>
    </row>
    <row r="162" spans="1:16" s="58" customFormat="1" ht="15.95" customHeight="1" thickBot="1" x14ac:dyDescent="0.3">
      <c r="A162" s="101"/>
      <c r="B162" s="565" t="s">
        <v>125</v>
      </c>
      <c r="C162" s="17">
        <v>90</v>
      </c>
      <c r="D162" s="849" t="s">
        <v>130</v>
      </c>
      <c r="E162" s="315">
        <v>9516869970</v>
      </c>
      <c r="F162" s="737" t="s">
        <v>661</v>
      </c>
      <c r="G162" s="737">
        <v>47200</v>
      </c>
      <c r="H162" s="584"/>
      <c r="I162" s="584"/>
      <c r="J162" s="584"/>
      <c r="K162" s="584"/>
      <c r="L162" s="585"/>
      <c r="M162" s="584"/>
      <c r="N162" s="586"/>
      <c r="O162" s="145"/>
      <c r="P162" s="1000"/>
    </row>
    <row r="163" spans="1:16" s="58" customFormat="1" ht="15.95" customHeight="1" thickBot="1" x14ac:dyDescent="0.3">
      <c r="A163" s="101"/>
      <c r="B163" s="27"/>
      <c r="C163" s="6"/>
      <c r="D163" s="846"/>
      <c r="E163" s="123"/>
      <c r="F163" s="734"/>
      <c r="G163" s="734"/>
      <c r="L163" s="145"/>
      <c r="O163" s="145"/>
      <c r="P163" s="1000"/>
    </row>
    <row r="164" spans="1:16" s="58" customFormat="1" ht="15.95" customHeight="1" x14ac:dyDescent="0.25">
      <c r="A164" s="518">
        <v>31</v>
      </c>
      <c r="B164" s="293" t="s">
        <v>161</v>
      </c>
      <c r="C164" s="17">
        <v>91</v>
      </c>
      <c r="D164" s="843" t="s">
        <v>166</v>
      </c>
      <c r="E164" s="299">
        <v>9672502593</v>
      </c>
      <c r="F164" s="728" t="s">
        <v>647</v>
      </c>
      <c r="G164" s="723">
        <v>47143</v>
      </c>
      <c r="H164" s="366"/>
      <c r="I164" s="366"/>
      <c r="J164" s="366"/>
      <c r="K164" s="366"/>
      <c r="L164" s="367"/>
      <c r="M164" s="366"/>
      <c r="N164" s="368"/>
      <c r="O164" s="145"/>
      <c r="P164" s="1000"/>
    </row>
    <row r="165" spans="1:16" s="58" customFormat="1" ht="15.95" customHeight="1" x14ac:dyDescent="0.25">
      <c r="A165" s="101"/>
      <c r="B165" s="587" t="s">
        <v>167</v>
      </c>
      <c r="C165" s="17">
        <v>92</v>
      </c>
      <c r="D165" s="847" t="s">
        <v>168</v>
      </c>
      <c r="E165" s="125" t="s">
        <v>169</v>
      </c>
      <c r="F165" s="717" t="s">
        <v>612</v>
      </c>
      <c r="G165" s="715">
        <v>45495</v>
      </c>
      <c r="H165" s="60" t="s">
        <v>39</v>
      </c>
      <c r="I165" s="60" t="s">
        <v>19</v>
      </c>
      <c r="J165" s="60" t="s">
        <v>157</v>
      </c>
      <c r="K165" s="92">
        <v>931012</v>
      </c>
      <c r="L165" s="208">
        <v>48723</v>
      </c>
      <c r="M165" s="92">
        <v>5</v>
      </c>
      <c r="N165" s="583">
        <v>5</v>
      </c>
      <c r="O165" s="145"/>
      <c r="P165" s="1006" t="s">
        <v>886</v>
      </c>
    </row>
    <row r="166" spans="1:16" s="58" customFormat="1" ht="15.95" customHeight="1" thickBot="1" x14ac:dyDescent="0.3">
      <c r="A166" s="101"/>
      <c r="B166" s="565" t="s">
        <v>125</v>
      </c>
      <c r="C166" s="17">
        <v>93</v>
      </c>
      <c r="D166" s="847" t="s">
        <v>937</v>
      </c>
      <c r="E166" s="125">
        <v>9631761123</v>
      </c>
      <c r="F166" s="715" t="s">
        <v>938</v>
      </c>
      <c r="G166" s="720" t="s">
        <v>595</v>
      </c>
      <c r="H166" s="584"/>
      <c r="I166" s="584"/>
      <c r="J166" s="584"/>
      <c r="K166" s="584"/>
      <c r="L166" s="585"/>
      <c r="M166" s="584"/>
      <c r="N166" s="586"/>
      <c r="O166" s="145"/>
      <c r="P166" s="1000"/>
    </row>
    <row r="167" spans="1:16" s="58" customFormat="1" ht="15.95" customHeight="1" thickBot="1" x14ac:dyDescent="0.3">
      <c r="A167" s="101"/>
      <c r="B167" s="27"/>
      <c r="C167" s="6"/>
      <c r="D167" s="849"/>
      <c r="E167" s="315"/>
      <c r="F167" s="722"/>
      <c r="G167" s="745"/>
      <c r="L167" s="145"/>
      <c r="O167" s="145"/>
      <c r="P167" s="1000"/>
    </row>
    <row r="168" spans="1:16" s="58" customFormat="1" ht="15.95" customHeight="1" x14ac:dyDescent="0.25">
      <c r="A168" s="518">
        <v>32</v>
      </c>
      <c r="B168" s="293" t="s">
        <v>170</v>
      </c>
      <c r="C168" s="17">
        <v>94</v>
      </c>
      <c r="D168" s="843" t="s">
        <v>171</v>
      </c>
      <c r="E168" s="299" t="s">
        <v>172</v>
      </c>
      <c r="F168" s="728" t="s">
        <v>173</v>
      </c>
      <c r="G168" s="723"/>
      <c r="H168" s="366"/>
      <c r="I168" s="366"/>
      <c r="J168" s="366"/>
      <c r="K168" s="366"/>
      <c r="L168" s="367"/>
      <c r="M168" s="366"/>
      <c r="N168" s="368"/>
      <c r="O168" s="145"/>
      <c r="P168" s="1000"/>
    </row>
    <row r="169" spans="1:16" s="58" customFormat="1" ht="15.95" customHeight="1" x14ac:dyDescent="0.25">
      <c r="A169" s="101"/>
      <c r="B169" s="295"/>
      <c r="C169" s="17">
        <v>95</v>
      </c>
      <c r="D169" s="847" t="s">
        <v>174</v>
      </c>
      <c r="E169" s="125" t="s">
        <v>175</v>
      </c>
      <c r="F169" s="780" t="s">
        <v>572</v>
      </c>
      <c r="G169" s="715">
        <v>45831</v>
      </c>
      <c r="H169" s="92" t="s">
        <v>23</v>
      </c>
      <c r="I169" s="92" t="s">
        <v>19</v>
      </c>
      <c r="J169" s="92" t="s">
        <v>176</v>
      </c>
      <c r="K169" s="92">
        <v>1067255</v>
      </c>
      <c r="L169" s="208">
        <v>46913</v>
      </c>
      <c r="M169" s="92">
        <v>5</v>
      </c>
      <c r="N169" s="583">
        <v>5</v>
      </c>
      <c r="O169" s="145"/>
      <c r="P169" s="1006" t="s">
        <v>886</v>
      </c>
    </row>
    <row r="170" spans="1:16" s="58" customFormat="1" ht="15.95" customHeight="1" thickBot="1" x14ac:dyDescent="0.3">
      <c r="A170" s="104"/>
      <c r="B170" s="296"/>
      <c r="C170" s="17">
        <v>96</v>
      </c>
      <c r="D170" s="69" t="s">
        <v>78</v>
      </c>
      <c r="E170" s="125" t="s">
        <v>79</v>
      </c>
      <c r="F170" s="810" t="s">
        <v>681</v>
      </c>
      <c r="G170" s="739">
        <v>46972</v>
      </c>
      <c r="H170" s="584"/>
      <c r="I170" s="584"/>
      <c r="J170" s="584"/>
      <c r="K170" s="584"/>
      <c r="L170" s="585"/>
      <c r="M170" s="584"/>
      <c r="N170" s="586"/>
      <c r="O170" s="145"/>
      <c r="P170" s="1000"/>
    </row>
    <row r="171" spans="1:16" s="58" customFormat="1" ht="15.95" customHeight="1" thickBot="1" x14ac:dyDescent="0.3">
      <c r="A171" s="104"/>
      <c r="B171" s="27"/>
      <c r="C171" s="6"/>
      <c r="D171" s="846"/>
      <c r="E171" s="123"/>
      <c r="F171" s="742"/>
      <c r="G171" s="742"/>
      <c r="L171" s="145"/>
      <c r="O171" s="145"/>
      <c r="P171" s="1000"/>
    </row>
    <row r="172" spans="1:16" s="58" customFormat="1" ht="15.95" customHeight="1" x14ac:dyDescent="0.25">
      <c r="A172" s="518">
        <v>33</v>
      </c>
      <c r="B172" s="293" t="s">
        <v>177</v>
      </c>
      <c r="C172" s="17">
        <v>97</v>
      </c>
      <c r="D172" s="853" t="s">
        <v>178</v>
      </c>
      <c r="E172" s="299" t="s">
        <v>179</v>
      </c>
      <c r="F172" s="770" t="s">
        <v>180</v>
      </c>
      <c r="G172" s="723">
        <v>45247</v>
      </c>
      <c r="H172" s="366"/>
      <c r="I172" s="366"/>
      <c r="J172" s="366"/>
      <c r="K172" s="366"/>
      <c r="L172" s="367"/>
      <c r="M172" s="366"/>
      <c r="N172" s="368"/>
      <c r="O172" s="145"/>
      <c r="P172" s="1000"/>
    </row>
    <row r="173" spans="1:16" s="58" customFormat="1" ht="15.95" customHeight="1" x14ac:dyDescent="0.25">
      <c r="A173" s="101"/>
      <c r="B173" s="587" t="s">
        <v>88</v>
      </c>
      <c r="C173" s="17">
        <v>98</v>
      </c>
      <c r="D173" s="867" t="s">
        <v>181</v>
      </c>
      <c r="E173" s="125" t="s">
        <v>182</v>
      </c>
      <c r="F173" s="780" t="s">
        <v>183</v>
      </c>
      <c r="G173" s="718"/>
      <c r="H173" s="92" t="s">
        <v>39</v>
      </c>
      <c r="I173" s="92" t="s">
        <v>19</v>
      </c>
      <c r="J173" s="92" t="s">
        <v>157</v>
      </c>
      <c r="K173" s="92">
        <v>886042</v>
      </c>
      <c r="L173" s="208">
        <v>47345</v>
      </c>
      <c r="M173" s="92">
        <v>5</v>
      </c>
      <c r="N173" s="583">
        <v>5</v>
      </c>
      <c r="O173" s="145"/>
      <c r="P173" s="1005" t="s">
        <v>890</v>
      </c>
    </row>
    <row r="174" spans="1:16" s="58" customFormat="1" ht="13.5" customHeight="1" thickBot="1" x14ac:dyDescent="0.3">
      <c r="A174" s="101"/>
      <c r="B174" s="349"/>
      <c r="C174" s="17">
        <v>99</v>
      </c>
      <c r="D174" s="849" t="s">
        <v>184</v>
      </c>
      <c r="E174" s="315" t="s">
        <v>185</v>
      </c>
      <c r="F174" s="787" t="s">
        <v>186</v>
      </c>
      <c r="G174" s="746">
        <v>45648</v>
      </c>
      <c r="H174" s="584"/>
      <c r="I174" s="584"/>
      <c r="J174" s="584"/>
      <c r="K174" s="584"/>
      <c r="L174" s="585"/>
      <c r="M174" s="584"/>
      <c r="N174" s="586"/>
      <c r="O174" s="145"/>
      <c r="P174" s="1000"/>
    </row>
    <row r="175" spans="1:16" s="58" customFormat="1" ht="15.95" customHeight="1" thickBot="1" x14ac:dyDescent="0.3">
      <c r="A175" s="101"/>
      <c r="B175" s="66"/>
      <c r="C175" s="6"/>
      <c r="D175" s="846"/>
      <c r="E175" s="123"/>
      <c r="F175" s="788"/>
      <c r="G175" s="734"/>
      <c r="L175" s="145"/>
      <c r="O175" s="145"/>
      <c r="P175" s="1000"/>
    </row>
    <row r="176" spans="1:16" s="58" customFormat="1" ht="15.95" customHeight="1" x14ac:dyDescent="0.25">
      <c r="A176" s="518">
        <v>34</v>
      </c>
      <c r="B176" s="347" t="s">
        <v>187</v>
      </c>
      <c r="C176" s="17">
        <v>100</v>
      </c>
      <c r="D176" s="843" t="s">
        <v>188</v>
      </c>
      <c r="E176" s="299" t="s">
        <v>189</v>
      </c>
      <c r="F176" s="789" t="s">
        <v>628</v>
      </c>
      <c r="G176" s="716">
        <v>45375</v>
      </c>
      <c r="H176" s="366"/>
      <c r="I176" s="366"/>
      <c r="J176" s="366"/>
      <c r="K176" s="366"/>
      <c r="L176" s="367"/>
      <c r="M176" s="366"/>
      <c r="N176" s="368"/>
      <c r="O176" s="145"/>
      <c r="P176" s="1000"/>
    </row>
    <row r="177" spans="1:16" s="58" customFormat="1" ht="15.95" customHeight="1" x14ac:dyDescent="0.25">
      <c r="A177" s="101"/>
      <c r="B177" s="573" t="s">
        <v>190</v>
      </c>
      <c r="C177" s="17">
        <v>101</v>
      </c>
      <c r="D177" s="847" t="s">
        <v>191</v>
      </c>
      <c r="E177" s="125" t="s">
        <v>192</v>
      </c>
      <c r="F177" s="790" t="s">
        <v>629</v>
      </c>
      <c r="G177" s="715">
        <v>45751</v>
      </c>
      <c r="H177" s="144" t="s">
        <v>26</v>
      </c>
      <c r="I177" s="144" t="s">
        <v>19</v>
      </c>
      <c r="J177" s="144" t="s">
        <v>25</v>
      </c>
      <c r="K177" s="144">
        <v>1054403</v>
      </c>
      <c r="L177" s="209">
        <v>48708</v>
      </c>
      <c r="M177" s="144">
        <v>10</v>
      </c>
      <c r="N177" s="589">
        <v>10</v>
      </c>
      <c r="O177" s="145"/>
      <c r="P177" s="1006" t="s">
        <v>893</v>
      </c>
    </row>
    <row r="178" spans="1:16" s="58" customFormat="1" ht="15.95" customHeight="1" x14ac:dyDescent="0.25">
      <c r="A178" s="101"/>
      <c r="B178" s="573" t="s">
        <v>88</v>
      </c>
      <c r="C178" s="17">
        <v>102</v>
      </c>
      <c r="D178" s="865" t="s">
        <v>573</v>
      </c>
      <c r="E178" s="149">
        <v>9974701838</v>
      </c>
      <c r="F178" s="790" t="s">
        <v>776</v>
      </c>
      <c r="G178" s="740">
        <v>47131</v>
      </c>
      <c r="H178" s="148" t="s">
        <v>503</v>
      </c>
      <c r="I178" s="146"/>
      <c r="J178" s="146"/>
      <c r="K178" s="146"/>
      <c r="L178" s="147"/>
      <c r="M178" s="146"/>
      <c r="N178" s="590"/>
      <c r="O178" s="145"/>
      <c r="P178" s="1000"/>
    </row>
    <row r="179" spans="1:16" s="58" customFormat="1" ht="15.95" customHeight="1" thickBot="1" x14ac:dyDescent="0.3">
      <c r="A179" s="101"/>
      <c r="B179" s="574" t="s">
        <v>193</v>
      </c>
      <c r="C179" s="17">
        <v>103</v>
      </c>
      <c r="D179" s="877" t="s">
        <v>928</v>
      </c>
      <c r="E179" s="125">
        <v>9445565632</v>
      </c>
      <c r="F179" s="126" t="s">
        <v>549</v>
      </c>
      <c r="G179" s="1020">
        <v>46060</v>
      </c>
      <c r="H179" s="591" t="s">
        <v>26</v>
      </c>
      <c r="I179" s="374" t="s">
        <v>19</v>
      </c>
      <c r="J179" s="374" t="s">
        <v>25</v>
      </c>
      <c r="K179" s="374">
        <v>885397</v>
      </c>
      <c r="L179" s="208">
        <v>47345</v>
      </c>
      <c r="M179" s="374">
        <v>10</v>
      </c>
      <c r="N179" s="376">
        <v>10</v>
      </c>
      <c r="O179" s="145"/>
      <c r="P179" s="1006" t="s">
        <v>890</v>
      </c>
    </row>
    <row r="180" spans="1:16" s="58" customFormat="1" ht="15.95" customHeight="1" thickBot="1" x14ac:dyDescent="0.3">
      <c r="A180" s="6"/>
      <c r="B180" s="66"/>
      <c r="C180" s="6"/>
      <c r="D180" s="846"/>
      <c r="E180" s="123"/>
      <c r="F180" s="788"/>
      <c r="G180" s="734"/>
      <c r="L180" s="199"/>
      <c r="O180" s="145"/>
      <c r="P180" s="1000"/>
    </row>
    <row r="181" spans="1:16" s="58" customFormat="1" ht="15.95" customHeight="1" x14ac:dyDescent="0.25">
      <c r="A181" s="518">
        <v>35</v>
      </c>
      <c r="B181" s="347" t="s">
        <v>194</v>
      </c>
      <c r="C181" s="17">
        <v>104</v>
      </c>
      <c r="D181" s="843" t="s">
        <v>494</v>
      </c>
      <c r="E181" s="299">
        <v>9097297327</v>
      </c>
      <c r="F181" s="792" t="s">
        <v>790</v>
      </c>
      <c r="G181" s="723">
        <v>47336</v>
      </c>
      <c r="H181" s="366"/>
      <c r="I181" s="366"/>
      <c r="J181" s="366"/>
      <c r="K181" s="366"/>
      <c r="L181" s="367"/>
      <c r="M181" s="366"/>
      <c r="N181" s="368"/>
      <c r="O181" s="145"/>
      <c r="P181" s="1000"/>
    </row>
    <row r="182" spans="1:16" s="58" customFormat="1" ht="15.95" customHeight="1" thickBot="1" x14ac:dyDescent="0.3">
      <c r="A182" s="101"/>
      <c r="B182" s="574" t="s">
        <v>195</v>
      </c>
      <c r="C182" s="17">
        <v>105</v>
      </c>
      <c r="D182" s="849" t="s">
        <v>925</v>
      </c>
      <c r="E182" s="315">
        <v>9810831772</v>
      </c>
      <c r="F182" s="793" t="s">
        <v>943</v>
      </c>
      <c r="G182" s="737">
        <v>47255</v>
      </c>
      <c r="H182" s="591" t="s">
        <v>39</v>
      </c>
      <c r="I182" s="374" t="s">
        <v>198</v>
      </c>
      <c r="J182" s="374" t="s">
        <v>103</v>
      </c>
      <c r="K182" s="374">
        <v>1288367</v>
      </c>
      <c r="L182" s="375">
        <v>48624</v>
      </c>
      <c r="M182" s="374">
        <v>5</v>
      </c>
      <c r="N182" s="376">
        <v>5</v>
      </c>
      <c r="O182" s="145"/>
      <c r="P182" s="1005" t="s">
        <v>893</v>
      </c>
    </row>
    <row r="183" spans="1:16" s="58" customFormat="1" ht="15.95" customHeight="1" thickBot="1" x14ac:dyDescent="0.3">
      <c r="A183" s="101"/>
      <c r="B183" s="66"/>
      <c r="C183" s="6"/>
      <c r="D183" s="846"/>
      <c r="E183" s="123"/>
      <c r="F183" s="794"/>
      <c r="G183" s="734"/>
      <c r="L183" s="199"/>
      <c r="O183" s="145"/>
      <c r="P183" s="1000"/>
    </row>
    <row r="184" spans="1:16" s="58" customFormat="1" ht="15.95" customHeight="1" thickBot="1" x14ac:dyDescent="0.3">
      <c r="A184" s="518">
        <v>36</v>
      </c>
      <c r="B184" s="594" t="s">
        <v>199</v>
      </c>
      <c r="C184" s="17">
        <v>106</v>
      </c>
      <c r="D184" s="843" t="s">
        <v>219</v>
      </c>
      <c r="E184" s="299">
        <v>9516875311</v>
      </c>
      <c r="F184" s="795" t="s">
        <v>220</v>
      </c>
      <c r="G184" s="723">
        <v>45247</v>
      </c>
      <c r="H184" s="614"/>
      <c r="I184" s="614"/>
      <c r="J184" s="614"/>
      <c r="K184" s="614"/>
      <c r="L184" s="621"/>
      <c r="M184" s="614"/>
      <c r="N184" s="616"/>
      <c r="O184" s="145"/>
      <c r="P184" s="1000"/>
    </row>
    <row r="185" spans="1:16" s="58" customFormat="1" ht="15.95" customHeight="1" thickBot="1" x14ac:dyDescent="0.3">
      <c r="A185" s="101"/>
      <c r="B185" s="606"/>
      <c r="C185" s="17">
        <v>107</v>
      </c>
      <c r="D185" s="844" t="s">
        <v>652</v>
      </c>
      <c r="E185" s="217">
        <v>9358947630</v>
      </c>
      <c r="F185" s="251" t="s">
        <v>678</v>
      </c>
      <c r="G185" s="1052">
        <v>45398</v>
      </c>
      <c r="H185" s="1053" t="s">
        <v>200</v>
      </c>
      <c r="I185" s="1053" t="s">
        <v>198</v>
      </c>
      <c r="J185" s="1054" t="s">
        <v>201</v>
      </c>
      <c r="K185" s="705">
        <v>1266039</v>
      </c>
      <c r="L185" s="206">
        <v>46913</v>
      </c>
      <c r="M185" s="76">
        <v>5</v>
      </c>
      <c r="N185" s="1055">
        <v>5</v>
      </c>
      <c r="O185" s="145"/>
      <c r="P185" s="1006" t="s">
        <v>886</v>
      </c>
    </row>
    <row r="186" spans="1:16" s="58" customFormat="1" ht="15.95" customHeight="1" thickBot="1" x14ac:dyDescent="0.3">
      <c r="A186" s="101"/>
      <c r="B186" s="46"/>
      <c r="C186" s="17">
        <v>108</v>
      </c>
      <c r="D186" s="847" t="s">
        <v>921</v>
      </c>
      <c r="E186" s="315">
        <v>9810831772</v>
      </c>
      <c r="F186" s="793" t="s">
        <v>710</v>
      </c>
      <c r="G186" s="737">
        <v>47255</v>
      </c>
      <c r="H186" s="60" t="s">
        <v>23</v>
      </c>
      <c r="I186" s="60" t="s">
        <v>19</v>
      </c>
      <c r="J186" s="60" t="s">
        <v>176</v>
      </c>
      <c r="K186" s="81">
        <v>885396</v>
      </c>
      <c r="L186" s="95">
        <v>47345</v>
      </c>
      <c r="M186" s="25">
        <v>10</v>
      </c>
      <c r="N186" s="609">
        <v>10</v>
      </c>
      <c r="O186" s="195"/>
      <c r="P186" s="1006" t="s">
        <v>890</v>
      </c>
    </row>
    <row r="187" spans="1:16" s="58" customFormat="1" ht="15.95" customHeight="1" thickBot="1" x14ac:dyDescent="0.3">
      <c r="A187" s="101"/>
      <c r="B187" s="46"/>
      <c r="C187" s="17">
        <v>109</v>
      </c>
      <c r="D187" s="849" t="s">
        <v>526</v>
      </c>
      <c r="E187" s="315"/>
      <c r="F187" s="796"/>
      <c r="G187" s="737"/>
      <c r="H187" s="564"/>
      <c r="I187" s="564"/>
      <c r="J187" s="673"/>
      <c r="K187" s="358"/>
      <c r="L187" s="342"/>
      <c r="M187" s="343"/>
      <c r="N187" s="593"/>
      <c r="O187" s="195"/>
      <c r="P187" s="1000"/>
    </row>
    <row r="188" spans="1:16" s="58" customFormat="1" ht="15.95" customHeight="1" thickBot="1" x14ac:dyDescent="0.3">
      <c r="A188" s="101"/>
      <c r="B188" s="46"/>
      <c r="C188" s="6"/>
      <c r="D188" s="846"/>
      <c r="E188" s="123"/>
      <c r="F188" s="691"/>
      <c r="G188" s="734"/>
      <c r="H188" s="68"/>
      <c r="I188" s="68"/>
      <c r="J188" s="592"/>
      <c r="K188" s="79"/>
      <c r="L188" s="112"/>
      <c r="M188" s="32"/>
      <c r="N188" s="79"/>
      <c r="O188" s="195"/>
      <c r="P188" s="1000"/>
    </row>
    <row r="189" spans="1:16" s="58" customFormat="1" ht="15.95" customHeight="1" x14ac:dyDescent="0.25">
      <c r="A189" s="518">
        <v>37</v>
      </c>
      <c r="B189" s="293" t="s">
        <v>202</v>
      </c>
      <c r="C189" s="17">
        <v>110</v>
      </c>
      <c r="D189" s="853" t="s">
        <v>203</v>
      </c>
      <c r="E189" s="299">
        <v>9656633855</v>
      </c>
      <c r="F189" s="778" t="s">
        <v>439</v>
      </c>
      <c r="G189" s="730">
        <v>45509</v>
      </c>
      <c r="H189" s="598" t="s">
        <v>200</v>
      </c>
      <c r="I189" s="439" t="s">
        <v>198</v>
      </c>
      <c r="J189" s="439" t="s">
        <v>103</v>
      </c>
      <c r="K189" s="599">
        <v>1102003</v>
      </c>
      <c r="L189" s="600">
        <v>46906</v>
      </c>
      <c r="M189" s="601"/>
      <c r="N189" s="602">
        <v>5</v>
      </c>
      <c r="O189" s="195"/>
      <c r="P189" s="1006" t="s">
        <v>890</v>
      </c>
    </row>
    <row r="190" spans="1:16" s="58" customFormat="1" ht="16.5" customHeight="1" thickBot="1" x14ac:dyDescent="0.3">
      <c r="A190" s="101"/>
      <c r="B190" s="603" t="s">
        <v>88</v>
      </c>
      <c r="C190" s="17">
        <v>111</v>
      </c>
      <c r="D190" s="849" t="s">
        <v>204</v>
      </c>
      <c r="E190" s="315">
        <v>9485515455</v>
      </c>
      <c r="F190" s="796" t="s">
        <v>438</v>
      </c>
      <c r="G190" s="745">
        <v>45482</v>
      </c>
      <c r="H190" s="604"/>
      <c r="I190" s="570"/>
      <c r="J190" s="570"/>
      <c r="K190" s="605"/>
      <c r="L190" s="571"/>
      <c r="M190" s="572"/>
      <c r="N190" s="597"/>
      <c r="O190" s="145"/>
      <c r="P190" s="1000"/>
    </row>
    <row r="191" spans="1:16" s="58" customFormat="1" ht="15.95" customHeight="1" thickBot="1" x14ac:dyDescent="0.3">
      <c r="A191" s="6"/>
      <c r="B191" s="79"/>
      <c r="C191" s="6"/>
      <c r="D191" s="846"/>
      <c r="E191" s="123"/>
      <c r="F191" s="691"/>
      <c r="G191" s="742"/>
      <c r="H191" s="63"/>
      <c r="I191" s="63"/>
      <c r="J191" s="63"/>
      <c r="K191" s="98"/>
      <c r="L191" s="112"/>
      <c r="M191" s="32"/>
      <c r="N191" s="79"/>
      <c r="O191" s="145"/>
      <c r="P191" s="1000"/>
    </row>
    <row r="192" spans="1:16" s="58" customFormat="1" ht="15.95" customHeight="1" x14ac:dyDescent="0.25">
      <c r="A192" s="518">
        <v>38</v>
      </c>
      <c r="B192" s="293" t="s">
        <v>205</v>
      </c>
      <c r="C192" s="17">
        <v>112</v>
      </c>
      <c r="D192" s="853" t="s">
        <v>212</v>
      </c>
      <c r="E192" s="299" t="s">
        <v>213</v>
      </c>
      <c r="F192" s="792" t="s">
        <v>679</v>
      </c>
      <c r="G192" s="723">
        <v>45400</v>
      </c>
      <c r="H192" s="303" t="s">
        <v>23</v>
      </c>
      <c r="I192" s="303" t="s">
        <v>19</v>
      </c>
      <c r="J192" s="303" t="s">
        <v>176</v>
      </c>
      <c r="K192" s="305">
        <v>969607</v>
      </c>
      <c r="L192" s="306">
        <v>48723</v>
      </c>
      <c r="M192" s="307">
        <v>5</v>
      </c>
      <c r="N192" s="607">
        <v>5</v>
      </c>
      <c r="O192" s="145"/>
      <c r="P192" s="1006" t="s">
        <v>886</v>
      </c>
    </row>
    <row r="193" spans="1:16" s="58" customFormat="1" ht="15.95" customHeight="1" x14ac:dyDescent="0.25">
      <c r="A193" s="101"/>
      <c r="B193" s="608" t="s">
        <v>208</v>
      </c>
      <c r="C193" s="17">
        <v>113</v>
      </c>
      <c r="D193" s="847" t="s">
        <v>214</v>
      </c>
      <c r="E193" s="125" t="s">
        <v>215</v>
      </c>
      <c r="F193" s="718" t="s">
        <v>216</v>
      </c>
      <c r="G193" s="718">
        <v>45356</v>
      </c>
      <c r="H193" s="60" t="s">
        <v>39</v>
      </c>
      <c r="I193" s="60" t="s">
        <v>19</v>
      </c>
      <c r="J193" s="60" t="s">
        <v>40</v>
      </c>
      <c r="K193" s="61">
        <v>931027</v>
      </c>
      <c r="L193" s="95">
        <v>48723</v>
      </c>
      <c r="M193" s="25">
        <v>5</v>
      </c>
      <c r="N193" s="609">
        <v>5</v>
      </c>
      <c r="O193" s="145"/>
      <c r="P193" s="1005" t="s">
        <v>886</v>
      </c>
    </row>
    <row r="194" spans="1:16" s="58" customFormat="1" ht="15.95" customHeight="1" x14ac:dyDescent="0.25">
      <c r="A194" s="101"/>
      <c r="B194" s="610"/>
      <c r="C194" s="17">
        <v>114</v>
      </c>
      <c r="D194" s="847" t="s">
        <v>462</v>
      </c>
      <c r="E194" s="125">
        <v>9654503691</v>
      </c>
      <c r="F194" s="151" t="s">
        <v>596</v>
      </c>
      <c r="G194" s="715">
        <v>47010</v>
      </c>
      <c r="H194" s="67" t="s">
        <v>23</v>
      </c>
      <c r="I194" s="67" t="s">
        <v>19</v>
      </c>
      <c r="J194" s="67"/>
      <c r="K194" s="81">
        <v>1063300</v>
      </c>
      <c r="L194" s="95">
        <v>46906</v>
      </c>
      <c r="M194" s="25">
        <v>5</v>
      </c>
      <c r="N194" s="609">
        <v>5</v>
      </c>
      <c r="O194" s="145"/>
      <c r="P194" s="1006" t="s">
        <v>890</v>
      </c>
    </row>
    <row r="195" spans="1:16" s="58" customFormat="1" ht="15.95" customHeight="1" x14ac:dyDescent="0.25">
      <c r="A195" s="101"/>
      <c r="B195" s="610"/>
      <c r="C195" s="17">
        <v>115</v>
      </c>
      <c r="D195" s="847" t="s">
        <v>584</v>
      </c>
      <c r="E195" s="125">
        <v>9165917704</v>
      </c>
      <c r="F195" s="126" t="s">
        <v>540</v>
      </c>
      <c r="G195" s="715">
        <v>46139</v>
      </c>
      <c r="L195" s="145"/>
      <c r="N195" s="611"/>
      <c r="O195" s="145"/>
      <c r="P195" s="1000"/>
    </row>
    <row r="196" spans="1:16" s="58" customFormat="1" ht="15.95" customHeight="1" thickBot="1" x14ac:dyDescent="0.3">
      <c r="A196" s="101"/>
      <c r="B196" s="612"/>
      <c r="C196" s="17">
        <v>116</v>
      </c>
      <c r="D196" s="903" t="s">
        <v>701</v>
      </c>
      <c r="E196" s="127">
        <v>97527726947</v>
      </c>
      <c r="F196" s="938" t="s">
        <v>541</v>
      </c>
      <c r="G196" s="738"/>
      <c r="H196" s="584"/>
      <c r="I196" s="584"/>
      <c r="J196" s="584"/>
      <c r="K196" s="584"/>
      <c r="L196" s="585"/>
      <c r="M196" s="584"/>
      <c r="N196" s="586"/>
      <c r="O196" s="145"/>
      <c r="P196" s="1000"/>
    </row>
    <row r="197" spans="1:16" s="58" customFormat="1" ht="15.95" customHeight="1" x14ac:dyDescent="0.25">
      <c r="A197" s="101"/>
      <c r="B197" s="79"/>
      <c r="C197" s="6"/>
      <c r="D197" s="846"/>
      <c r="E197" s="123"/>
      <c r="F197" s="794"/>
      <c r="G197" s="742"/>
      <c r="L197" s="145"/>
      <c r="O197" s="145"/>
      <c r="P197" s="1000"/>
    </row>
    <row r="198" spans="1:16" s="58" customFormat="1" ht="15.95" customHeight="1" thickBot="1" x14ac:dyDescent="0.3">
      <c r="A198" s="101"/>
      <c r="B198" s="66"/>
      <c r="C198" s="6"/>
      <c r="D198" s="846"/>
      <c r="E198" s="123"/>
      <c r="F198" s="742"/>
      <c r="G198" s="748"/>
      <c r="L198" s="199"/>
      <c r="O198" s="145"/>
      <c r="P198" s="1000"/>
    </row>
    <row r="199" spans="1:16" s="58" customFormat="1" ht="15.95" customHeight="1" x14ac:dyDescent="0.25">
      <c r="A199" s="518">
        <v>39</v>
      </c>
      <c r="B199" s="347" t="s">
        <v>699</v>
      </c>
      <c r="C199" s="17">
        <v>117</v>
      </c>
      <c r="D199" s="864" t="s">
        <v>363</v>
      </c>
      <c r="E199" s="299">
        <v>9565501806</v>
      </c>
      <c r="F199" s="797" t="s">
        <v>364</v>
      </c>
      <c r="G199" s="723">
        <v>45142</v>
      </c>
      <c r="H199" s="620" t="s">
        <v>102</v>
      </c>
      <c r="I199" s="620" t="s">
        <v>231</v>
      </c>
      <c r="J199" s="620" t="s">
        <v>201</v>
      </c>
      <c r="K199" s="621">
        <v>883191</v>
      </c>
      <c r="L199" s="208">
        <v>47345</v>
      </c>
      <c r="M199" s="620">
        <v>5</v>
      </c>
      <c r="N199" s="623">
        <v>5</v>
      </c>
      <c r="P199" s="1005" t="s">
        <v>890</v>
      </c>
    </row>
    <row r="200" spans="1:16" s="58" customFormat="1" ht="15.95" customHeight="1" x14ac:dyDescent="0.25">
      <c r="A200" s="102"/>
      <c r="B200" s="573"/>
      <c r="C200" s="17">
        <v>118</v>
      </c>
      <c r="D200" s="847" t="s">
        <v>482</v>
      </c>
      <c r="E200" s="125">
        <v>9702444273</v>
      </c>
      <c r="F200" s="151" t="s">
        <v>480</v>
      </c>
      <c r="G200" s="739">
        <v>45761</v>
      </c>
      <c r="H200" s="1049"/>
      <c r="I200" s="1050"/>
      <c r="J200" s="1050"/>
      <c r="K200" s="80"/>
      <c r="L200" s="955"/>
      <c r="M200" s="1050"/>
      <c r="N200" s="1051"/>
      <c r="P200" s="1000"/>
    </row>
    <row r="201" spans="1:16" s="58" customFormat="1" ht="15.95" customHeight="1" x14ac:dyDescent="0.25">
      <c r="A201" s="101"/>
      <c r="B201" s="153"/>
      <c r="C201" s="6"/>
      <c r="D201" s="866"/>
      <c r="E201" s="830"/>
      <c r="F201" s="1046"/>
      <c r="G201" s="763"/>
      <c r="H201" s="1047"/>
      <c r="I201" s="1047"/>
      <c r="J201" s="1047"/>
      <c r="K201" s="86"/>
      <c r="L201" s="1048"/>
      <c r="M201" s="1047"/>
      <c r="N201" s="1047"/>
      <c r="P201" s="1000"/>
    </row>
    <row r="202" spans="1:16" s="58" customFormat="1" ht="15.95" customHeight="1" x14ac:dyDescent="0.25">
      <c r="A202" s="518">
        <v>40</v>
      </c>
      <c r="B202" s="1044" t="s">
        <v>922</v>
      </c>
      <c r="C202" s="17">
        <v>119</v>
      </c>
      <c r="D202" s="153" t="s">
        <v>909</v>
      </c>
      <c r="E202" s="127" t="s">
        <v>326</v>
      </c>
      <c r="F202" s="224" t="s">
        <v>327</v>
      </c>
      <c r="G202" s="224">
        <v>45739</v>
      </c>
      <c r="H202" s="152" t="s">
        <v>23</v>
      </c>
      <c r="I202" s="152" t="s">
        <v>43</v>
      </c>
      <c r="J202" s="152" t="s">
        <v>176</v>
      </c>
      <c r="K202" s="40">
        <v>1364581</v>
      </c>
      <c r="L202" s="1045" t="s">
        <v>911</v>
      </c>
      <c r="M202" s="152">
        <v>10</v>
      </c>
      <c r="N202" s="654">
        <v>10</v>
      </c>
      <c r="P202" s="1005" t="s">
        <v>890</v>
      </c>
    </row>
    <row r="203" spans="1:16" s="58" customFormat="1" ht="15.95" customHeight="1" thickBot="1" x14ac:dyDescent="0.3">
      <c r="A203" s="6"/>
      <c r="B203" s="574"/>
      <c r="C203" s="17">
        <v>120</v>
      </c>
      <c r="D203" s="849" t="s">
        <v>702</v>
      </c>
      <c r="E203" s="315">
        <v>9657806036</v>
      </c>
      <c r="F203" s="796"/>
      <c r="G203" s="749"/>
      <c r="H203" s="374"/>
      <c r="I203" s="374"/>
      <c r="J203" s="374"/>
      <c r="K203" s="412"/>
      <c r="L203" s="628"/>
      <c r="M203" s="374"/>
      <c r="N203" s="376"/>
      <c r="P203" s="1000"/>
    </row>
    <row r="204" spans="1:16" s="58" customFormat="1" ht="15.95" customHeight="1" x14ac:dyDescent="0.25">
      <c r="A204" s="6"/>
      <c r="B204" s="66"/>
      <c r="C204" s="6"/>
      <c r="D204" s="1035"/>
      <c r="E204" s="1036"/>
      <c r="F204" s="691"/>
      <c r="G204" s="734"/>
      <c r="K204" s="6"/>
      <c r="L204" s="145"/>
      <c r="P204" s="1000"/>
    </row>
    <row r="205" spans="1:16" s="58" customFormat="1" ht="15.95" customHeight="1" thickBot="1" x14ac:dyDescent="0.3">
      <c r="A205" s="6"/>
      <c r="B205" s="66"/>
      <c r="C205" s="6"/>
      <c r="D205" s="846"/>
      <c r="E205" s="123"/>
      <c r="F205" s="691"/>
      <c r="G205" s="734"/>
      <c r="K205" s="6"/>
      <c r="L205" s="145"/>
      <c r="O205" s="145"/>
      <c r="P205" s="1000"/>
    </row>
    <row r="206" spans="1:16" s="58" customFormat="1" ht="15.95" customHeight="1" x14ac:dyDescent="0.25">
      <c r="A206" s="518">
        <v>41</v>
      </c>
      <c r="B206" s="347" t="s">
        <v>481</v>
      </c>
      <c r="C206" s="17">
        <v>121</v>
      </c>
      <c r="D206" s="843" t="s">
        <v>302</v>
      </c>
      <c r="E206" s="337" t="s">
        <v>303</v>
      </c>
      <c r="F206" s="716" t="s">
        <v>304</v>
      </c>
      <c r="G206" s="750">
        <v>45439</v>
      </c>
      <c r="H206" s="620" t="s">
        <v>23</v>
      </c>
      <c r="I206" s="620" t="s">
        <v>198</v>
      </c>
      <c r="J206" s="620" t="s">
        <v>25</v>
      </c>
      <c r="K206" s="621">
        <v>5570977</v>
      </c>
      <c r="L206" s="622">
        <v>46913</v>
      </c>
      <c r="M206" s="620">
        <v>5</v>
      </c>
      <c r="N206" s="623">
        <v>5</v>
      </c>
      <c r="O206" s="145"/>
      <c r="P206" s="1005" t="s">
        <v>897</v>
      </c>
    </row>
    <row r="207" spans="1:16" s="58" customFormat="1" ht="15.95" customHeight="1" thickBot="1" x14ac:dyDescent="0.3">
      <c r="A207" s="102"/>
      <c r="B207" s="574"/>
      <c r="C207" s="17">
        <v>122</v>
      </c>
      <c r="D207" s="851" t="s">
        <v>224</v>
      </c>
      <c r="E207" s="315" t="s">
        <v>225</v>
      </c>
      <c r="F207" s="791" t="s">
        <v>226</v>
      </c>
      <c r="G207" s="749">
        <v>45187</v>
      </c>
      <c r="H207" s="624"/>
      <c r="I207" s="625"/>
      <c r="J207" s="625"/>
      <c r="K207" s="566"/>
      <c r="L207" s="626"/>
      <c r="M207" s="625"/>
      <c r="N207" s="627"/>
      <c r="O207" s="145"/>
      <c r="P207" s="1000"/>
    </row>
    <row r="208" spans="1:16" s="58" customFormat="1" ht="15.95" customHeight="1" thickBot="1" x14ac:dyDescent="0.3">
      <c r="A208" s="6"/>
      <c r="B208" s="66"/>
      <c r="C208" s="6"/>
      <c r="D208" s="846"/>
      <c r="E208" s="123"/>
      <c r="F208" s="788"/>
      <c r="G208" s="734"/>
      <c r="K208" s="6"/>
      <c r="L208" s="145"/>
      <c r="O208" s="145"/>
      <c r="P208" s="1000"/>
    </row>
    <row r="209" spans="1:16" s="58" customFormat="1" ht="15.95" customHeight="1" thickBot="1" x14ac:dyDescent="0.3">
      <c r="A209" s="518">
        <v>42</v>
      </c>
      <c r="B209" s="359" t="s">
        <v>223</v>
      </c>
      <c r="C209" s="17">
        <v>123</v>
      </c>
      <c r="D209" s="853" t="s">
        <v>528</v>
      </c>
      <c r="E209" s="299" t="s">
        <v>210</v>
      </c>
      <c r="F209" s="798" t="s">
        <v>541</v>
      </c>
      <c r="G209" s="723"/>
      <c r="H209" s="620" t="s">
        <v>23</v>
      </c>
      <c r="I209" s="614" t="s">
        <v>198</v>
      </c>
      <c r="J209" s="614" t="s">
        <v>176</v>
      </c>
      <c r="K209" s="614">
        <v>919682</v>
      </c>
      <c r="L209" s="615">
        <v>48723</v>
      </c>
      <c r="M209" s="614"/>
      <c r="N209" s="616">
        <v>5</v>
      </c>
      <c r="O209" s="145"/>
      <c r="P209" s="1005" t="s">
        <v>890</v>
      </c>
    </row>
    <row r="210" spans="1:16" s="58" customFormat="1" ht="15.95" customHeight="1" thickBot="1" x14ac:dyDescent="0.3">
      <c r="A210" s="102"/>
      <c r="B210" s="349"/>
      <c r="C210" s="17">
        <v>124</v>
      </c>
      <c r="D210" s="849" t="s">
        <v>529</v>
      </c>
      <c r="E210" s="315">
        <v>9922026376</v>
      </c>
      <c r="F210" s="791" t="s">
        <v>541</v>
      </c>
      <c r="G210" s="737"/>
      <c r="H210" s="585"/>
      <c r="I210" s="584"/>
      <c r="J210" s="584"/>
      <c r="K210" s="584"/>
      <c r="L210" s="585"/>
      <c r="M210" s="584"/>
      <c r="N210" s="586"/>
      <c r="O210" s="145"/>
      <c r="P210" s="1000"/>
    </row>
    <row r="211" spans="1:16" s="58" customFormat="1" ht="15.95" customHeight="1" thickBot="1" x14ac:dyDescent="0.3">
      <c r="A211" s="102"/>
      <c r="B211" s="66"/>
      <c r="C211" s="6"/>
      <c r="D211" s="846"/>
      <c r="E211" s="123"/>
      <c r="F211" s="788"/>
      <c r="G211" s="734"/>
      <c r="H211" s="145"/>
      <c r="L211" s="145"/>
      <c r="O211" s="145"/>
      <c r="P211" s="1000"/>
    </row>
    <row r="212" spans="1:16" s="58" customFormat="1" ht="15.95" customHeight="1" x14ac:dyDescent="0.25">
      <c r="A212" s="518">
        <v>43</v>
      </c>
      <c r="B212" s="347" t="s">
        <v>227</v>
      </c>
      <c r="C212" s="17">
        <v>125</v>
      </c>
      <c r="D212" s="874" t="s">
        <v>228</v>
      </c>
      <c r="E212" s="422">
        <v>9533671302</v>
      </c>
      <c r="F212" s="798" t="s">
        <v>836</v>
      </c>
      <c r="G212" s="716">
        <v>47338</v>
      </c>
      <c r="H212" s="614"/>
      <c r="I212" s="614"/>
      <c r="J212" s="614"/>
      <c r="K212" s="614"/>
      <c r="L212" s="621"/>
      <c r="M212" s="614"/>
      <c r="N212" s="616"/>
      <c r="O212" s="145"/>
      <c r="P212" s="1000"/>
    </row>
    <row r="213" spans="1:16" s="58" customFormat="1" ht="15.95" customHeight="1" thickBot="1" x14ac:dyDescent="0.3">
      <c r="A213" s="101"/>
      <c r="B213" s="574" t="s">
        <v>229</v>
      </c>
      <c r="C213" s="17">
        <v>126</v>
      </c>
      <c r="D213" s="877" t="s">
        <v>918</v>
      </c>
      <c r="E213" s="125">
        <v>9059593009</v>
      </c>
      <c r="F213" s="810" t="s">
        <v>919</v>
      </c>
      <c r="G213" s="739">
        <v>47517</v>
      </c>
      <c r="H213" s="319" t="s">
        <v>230</v>
      </c>
      <c r="I213" s="319" t="s">
        <v>43</v>
      </c>
      <c r="J213" s="564" t="s">
        <v>176</v>
      </c>
      <c r="K213" s="358">
        <v>6567287</v>
      </c>
      <c r="L213" s="342">
        <v>47345</v>
      </c>
      <c r="M213" s="343">
        <v>10</v>
      </c>
      <c r="N213" s="593">
        <v>10</v>
      </c>
      <c r="O213" s="145"/>
      <c r="P213" s="1006" t="s">
        <v>886</v>
      </c>
    </row>
    <row r="214" spans="1:16" s="58" customFormat="1" ht="15" customHeight="1" x14ac:dyDescent="0.25">
      <c r="A214" s="101"/>
      <c r="B214" s="66"/>
      <c r="C214" s="6"/>
      <c r="D214" s="31"/>
      <c r="E214" s="285"/>
      <c r="F214" s="799"/>
      <c r="G214" s="742"/>
      <c r="H214" s="63"/>
      <c r="I214" s="63"/>
      <c r="J214" s="68"/>
      <c r="K214" s="79"/>
      <c r="L214" s="112"/>
      <c r="M214" s="32"/>
      <c r="N214" s="79"/>
      <c r="O214" s="145"/>
      <c r="P214" s="1000"/>
    </row>
    <row r="215" spans="1:16" s="58" customFormat="1" ht="15" customHeight="1" thickBot="1" x14ac:dyDescent="0.3">
      <c r="A215" s="6"/>
      <c r="B215" s="79"/>
      <c r="C215" s="6"/>
      <c r="D215" s="846"/>
      <c r="E215" s="123"/>
      <c r="F215" s="734"/>
      <c r="G215" s="742"/>
      <c r="H215" s="397"/>
      <c r="I215" s="397"/>
      <c r="K215" s="398"/>
      <c r="L215" s="395"/>
      <c r="O215" s="145"/>
      <c r="P215" s="1000"/>
    </row>
    <row r="216" spans="1:16" s="58" customFormat="1" ht="15.95" customHeight="1" x14ac:dyDescent="0.25">
      <c r="A216" s="518">
        <v>44</v>
      </c>
      <c r="B216" s="660" t="s">
        <v>634</v>
      </c>
      <c r="C216" s="17">
        <v>127</v>
      </c>
      <c r="D216" s="843" t="s">
        <v>802</v>
      </c>
      <c r="E216" s="337">
        <v>9994064468</v>
      </c>
      <c r="F216" s="716" t="s">
        <v>207</v>
      </c>
      <c r="G216" s="723">
        <v>45426</v>
      </c>
      <c r="H216" s="561" t="s">
        <v>23</v>
      </c>
      <c r="I216" s="561" t="s">
        <v>644</v>
      </c>
      <c r="J216" s="614" t="s">
        <v>176</v>
      </c>
      <c r="K216" s="666" t="s">
        <v>639</v>
      </c>
      <c r="L216" s="666" t="s">
        <v>641</v>
      </c>
      <c r="M216" s="614">
        <v>24</v>
      </c>
      <c r="N216" s="616">
        <v>24</v>
      </c>
      <c r="O216" s="145"/>
      <c r="P216" s="1006" t="s">
        <v>890</v>
      </c>
    </row>
    <row r="217" spans="1:16" s="58" customFormat="1" ht="15.95" customHeight="1" x14ac:dyDescent="0.25">
      <c r="A217" s="15"/>
      <c r="B217" s="664" t="s">
        <v>749</v>
      </c>
      <c r="C217" s="17">
        <v>128</v>
      </c>
      <c r="D217" s="165" t="s">
        <v>1003</v>
      </c>
      <c r="E217" s="165"/>
      <c r="F217" s="1103"/>
      <c r="G217" s="1080">
        <v>47792</v>
      </c>
      <c r="H217" s="70" t="s">
        <v>72</v>
      </c>
      <c r="I217" s="70" t="s">
        <v>457</v>
      </c>
      <c r="J217" s="92" t="s">
        <v>61</v>
      </c>
      <c r="K217" s="242" t="s">
        <v>638</v>
      </c>
      <c r="L217" s="126" t="s">
        <v>640</v>
      </c>
      <c r="M217" s="92">
        <v>21</v>
      </c>
      <c r="N217" s="583" t="s">
        <v>642</v>
      </c>
      <c r="O217" s="145"/>
      <c r="P217" s="1006" t="s">
        <v>890</v>
      </c>
    </row>
    <row r="218" spans="1:16" s="58" customFormat="1" ht="15.95" customHeight="1" x14ac:dyDescent="0.25">
      <c r="A218" s="6"/>
      <c r="B218" s="348" t="s">
        <v>750</v>
      </c>
      <c r="C218" s="40"/>
      <c r="D218" s="846"/>
      <c r="E218" s="123"/>
      <c r="F218" s="788"/>
      <c r="G218" s="742"/>
      <c r="H218" s="396" t="s">
        <v>460</v>
      </c>
      <c r="I218" s="396"/>
      <c r="J218" s="152"/>
      <c r="K218" s="399"/>
      <c r="L218" s="400"/>
      <c r="M218" s="152">
        <v>1</v>
      </c>
      <c r="N218" s="654">
        <v>1</v>
      </c>
      <c r="O218" s="145"/>
      <c r="P218" s="1006"/>
    </row>
    <row r="219" spans="1:16" s="58" customFormat="1" ht="15.95" customHeight="1" thickBot="1" x14ac:dyDescent="0.3">
      <c r="A219" s="6"/>
      <c r="B219" s="574"/>
      <c r="C219" s="412"/>
      <c r="D219" s="845"/>
      <c r="E219" s="413"/>
      <c r="F219" s="806"/>
      <c r="G219" s="757"/>
      <c r="H219" s="659" t="s">
        <v>114</v>
      </c>
      <c r="I219" s="659" t="s">
        <v>643</v>
      </c>
      <c r="J219" s="374"/>
      <c r="K219" s="667"/>
      <c r="L219" s="668"/>
      <c r="M219" s="374">
        <v>1</v>
      </c>
      <c r="N219" s="376">
        <v>1</v>
      </c>
      <c r="O219" s="145"/>
      <c r="P219" s="1006"/>
    </row>
    <row r="220" spans="1:16" s="58" customFormat="1" ht="15.95" customHeight="1" thickBot="1" x14ac:dyDescent="0.3">
      <c r="A220" s="6"/>
      <c r="B220" s="66"/>
      <c r="C220" s="6"/>
      <c r="D220" s="846"/>
      <c r="E220" s="123"/>
      <c r="F220" s="788"/>
      <c r="G220" s="742"/>
      <c r="H220" s="397"/>
      <c r="I220" s="397"/>
      <c r="K220" s="398"/>
      <c r="L220" s="395"/>
      <c r="O220" s="145"/>
      <c r="P220" s="1000"/>
    </row>
    <row r="221" spans="1:16" s="58" customFormat="1" ht="15.95" customHeight="1" thickBot="1" x14ac:dyDescent="0.3">
      <c r="A221" s="1142" t="s">
        <v>574</v>
      </c>
      <c r="B221" s="1143"/>
      <c r="C221" s="6"/>
      <c r="D221" s="1056"/>
      <c r="E221" s="123"/>
      <c r="F221" s="807"/>
      <c r="G221" s="122"/>
      <c r="L221" s="145"/>
      <c r="O221" s="145"/>
      <c r="P221" s="1000"/>
    </row>
    <row r="222" spans="1:16" s="58" customFormat="1" ht="15.95" customHeight="1" thickBot="1" x14ac:dyDescent="0.3">
      <c r="A222" s="518">
        <v>45</v>
      </c>
      <c r="B222" s="392" t="s">
        <v>305</v>
      </c>
      <c r="C222" s="17">
        <v>129</v>
      </c>
      <c r="D222" s="1105" t="s">
        <v>306</v>
      </c>
      <c r="E222" s="220" t="s">
        <v>307</v>
      </c>
      <c r="F222" s="251" t="s">
        <v>308</v>
      </c>
      <c r="G222" s="756">
        <v>45149</v>
      </c>
      <c r="H222" s="1106" t="s">
        <v>309</v>
      </c>
      <c r="I222" s="144" t="s">
        <v>310</v>
      </c>
      <c r="J222" s="144" t="s">
        <v>25</v>
      </c>
      <c r="K222" s="144">
        <v>70349</v>
      </c>
      <c r="L222" s="209">
        <v>46906</v>
      </c>
      <c r="M222" s="144"/>
      <c r="N222" s="144">
        <v>8</v>
      </c>
      <c r="O222" s="145"/>
      <c r="P222" s="1027" t="s">
        <v>890</v>
      </c>
    </row>
    <row r="223" spans="1:16" s="58" customFormat="1" ht="15.95" customHeight="1" thickBot="1" x14ac:dyDescent="0.3">
      <c r="A223" s="518">
        <v>46</v>
      </c>
      <c r="B223" s="392" t="s">
        <v>336</v>
      </c>
      <c r="C223" s="17">
        <v>130</v>
      </c>
      <c r="D223" s="1018" t="s">
        <v>337</v>
      </c>
      <c r="E223" s="299" t="s">
        <v>338</v>
      </c>
      <c r="F223" s="716" t="s">
        <v>553</v>
      </c>
      <c r="G223" s="716">
        <v>45652</v>
      </c>
      <c r="H223" s="366"/>
      <c r="I223" s="366"/>
      <c r="J223" s="366"/>
      <c r="K223" s="366"/>
      <c r="L223" s="367"/>
      <c r="M223" s="366"/>
      <c r="N223" s="366"/>
      <c r="O223" s="1107"/>
      <c r="P223" s="1108"/>
    </row>
    <row r="224" spans="1:16" s="58" customFormat="1" ht="15.95" customHeight="1" thickBot="1" x14ac:dyDescent="0.3">
      <c r="A224" s="101"/>
      <c r="B224" s="79"/>
      <c r="C224" s="17">
        <v>131</v>
      </c>
      <c r="D224" s="1109" t="s">
        <v>340</v>
      </c>
      <c r="E224" s="315" t="s">
        <v>341</v>
      </c>
      <c r="F224" s="745" t="s">
        <v>542</v>
      </c>
      <c r="G224" s="745">
        <v>45843</v>
      </c>
      <c r="H224" s="374" t="s">
        <v>200</v>
      </c>
      <c r="I224" s="374" t="s">
        <v>211</v>
      </c>
      <c r="J224" s="374" t="s">
        <v>103</v>
      </c>
      <c r="K224" s="374" t="s">
        <v>339</v>
      </c>
      <c r="L224" s="375">
        <v>46906</v>
      </c>
      <c r="M224" s="374"/>
      <c r="N224" s="374">
        <v>5</v>
      </c>
      <c r="O224" s="585"/>
      <c r="P224" s="1110" t="s">
        <v>890</v>
      </c>
    </row>
    <row r="225" spans="1:20" s="58" customFormat="1" ht="15.95" customHeight="1" x14ac:dyDescent="0.25">
      <c r="A225" s="518">
        <v>47</v>
      </c>
      <c r="B225" s="69" t="s">
        <v>623</v>
      </c>
      <c r="C225" s="17">
        <v>132</v>
      </c>
      <c r="D225" s="1111" t="s">
        <v>347</v>
      </c>
      <c r="E225" s="299" t="s">
        <v>348</v>
      </c>
      <c r="F225" s="774"/>
      <c r="G225" s="723"/>
      <c r="H225" s="561"/>
      <c r="I225" s="561"/>
      <c r="J225" s="561"/>
      <c r="K225" s="298" t="s">
        <v>345</v>
      </c>
      <c r="L225" s="1112"/>
      <c r="M225" s="1113"/>
      <c r="N225" s="1113"/>
      <c r="O225" s="1112"/>
      <c r="P225" s="1114"/>
    </row>
    <row r="226" spans="1:20" s="58" customFormat="1" ht="15.95" customHeight="1" x14ac:dyDescent="0.25">
      <c r="A226" s="1144" t="s">
        <v>349</v>
      </c>
      <c r="B226" s="1145"/>
      <c r="C226" s="215"/>
      <c r="D226" s="883"/>
      <c r="E226" s="123"/>
      <c r="F226" s="122"/>
      <c r="G226" s="122"/>
      <c r="K226" s="1099"/>
      <c r="L226" s="215"/>
      <c r="M226" s="1102"/>
      <c r="N226" s="1099"/>
      <c r="P226" s="1000"/>
    </row>
    <row r="227" spans="1:20" s="58" customFormat="1" ht="15.95" customHeight="1" x14ac:dyDescent="0.25">
      <c r="A227" s="17">
        <v>1</v>
      </c>
      <c r="B227" s="154" t="s">
        <v>995</v>
      </c>
      <c r="C227" s="6"/>
      <c r="D227" s="79"/>
      <c r="E227" s="123"/>
      <c r="F227" s="122"/>
      <c r="G227" s="122"/>
      <c r="H227" s="63"/>
      <c r="I227" s="63"/>
      <c r="J227" s="63"/>
      <c r="K227" s="46"/>
      <c r="L227" s="27"/>
      <c r="M227" s="37"/>
      <c r="N227" s="46"/>
      <c r="P227" s="1000"/>
    </row>
    <row r="228" spans="1:20" s="58" customFormat="1" ht="15.95" customHeight="1" x14ac:dyDescent="0.25">
      <c r="A228" s="243"/>
      <c r="B228" s="64" t="s">
        <v>350</v>
      </c>
      <c r="C228" s="158">
        <v>1</v>
      </c>
      <c r="D228" s="69" t="s">
        <v>992</v>
      </c>
      <c r="E228" s="149">
        <v>9127320439</v>
      </c>
      <c r="F228" s="803" t="s">
        <v>993</v>
      </c>
      <c r="G228" s="718">
        <v>47148</v>
      </c>
      <c r="H228" s="60" t="s">
        <v>18</v>
      </c>
      <c r="I228" s="60" t="s">
        <v>231</v>
      </c>
      <c r="J228" s="60" t="s">
        <v>20</v>
      </c>
      <c r="K228" s="20" t="s">
        <v>519</v>
      </c>
      <c r="L228" s="39">
        <v>48717</v>
      </c>
      <c r="M228" s="18">
        <v>21</v>
      </c>
      <c r="N228" s="20" t="s">
        <v>452</v>
      </c>
      <c r="P228" s="1006" t="s">
        <v>898</v>
      </c>
    </row>
    <row r="229" spans="1:20" s="58" customFormat="1" ht="15.95" customHeight="1" x14ac:dyDescent="0.25">
      <c r="A229" s="243"/>
      <c r="B229" s="64" t="s">
        <v>352</v>
      </c>
      <c r="C229" s="157">
        <v>2</v>
      </c>
      <c r="D229" s="710" t="s">
        <v>353</v>
      </c>
      <c r="E229" s="125">
        <v>9163704658</v>
      </c>
      <c r="F229" s="785" t="s">
        <v>354</v>
      </c>
      <c r="G229" s="739">
        <v>45264</v>
      </c>
      <c r="H229" s="59" t="s">
        <v>26</v>
      </c>
      <c r="I229" s="119" t="s">
        <v>258</v>
      </c>
      <c r="J229" s="60" t="s">
        <v>25</v>
      </c>
      <c r="K229" s="20" t="s">
        <v>355</v>
      </c>
      <c r="L229" s="39">
        <v>47537</v>
      </c>
      <c r="M229" s="18">
        <v>24</v>
      </c>
      <c r="N229" s="20">
        <v>24</v>
      </c>
      <c r="O229" s="145"/>
      <c r="P229" s="1005" t="s">
        <v>892</v>
      </c>
    </row>
    <row r="230" spans="1:20" s="58" customFormat="1" ht="15.95" customHeight="1" x14ac:dyDescent="0.25">
      <c r="A230" s="243"/>
      <c r="B230" s="64" t="s">
        <v>352</v>
      </c>
      <c r="C230" s="157">
        <v>3</v>
      </c>
      <c r="D230" s="710" t="s">
        <v>590</v>
      </c>
      <c r="E230" s="263" t="s">
        <v>591</v>
      </c>
      <c r="F230" s="720" t="s">
        <v>665</v>
      </c>
      <c r="G230" s="715">
        <v>47148</v>
      </c>
      <c r="H230" s="59" t="s">
        <v>26</v>
      </c>
      <c r="I230" s="119" t="s">
        <v>819</v>
      </c>
      <c r="J230" s="60" t="s">
        <v>25</v>
      </c>
      <c r="K230" s="709" t="s">
        <v>520</v>
      </c>
      <c r="L230" s="39">
        <v>47537</v>
      </c>
      <c r="M230" s="18">
        <v>24</v>
      </c>
      <c r="N230" s="20">
        <v>24</v>
      </c>
      <c r="O230" s="145"/>
      <c r="P230" s="1005" t="s">
        <v>892</v>
      </c>
    </row>
    <row r="231" spans="1:20" s="58" customFormat="1" ht="15.95" customHeight="1" x14ac:dyDescent="0.25">
      <c r="A231" s="243"/>
      <c r="B231" s="46"/>
      <c r="C231" s="6"/>
      <c r="D231" s="66"/>
      <c r="E231" s="123"/>
      <c r="F231" s="719"/>
      <c r="G231" s="734"/>
      <c r="H231" s="59" t="s">
        <v>357</v>
      </c>
      <c r="I231" s="60"/>
      <c r="J231" s="60"/>
      <c r="K231" s="20"/>
      <c r="L231" s="39"/>
      <c r="M231" s="18">
        <v>1</v>
      </c>
      <c r="N231" s="20"/>
      <c r="O231" s="145"/>
      <c r="P231" s="1000"/>
    </row>
    <row r="232" spans="1:20" s="58" customFormat="1" ht="15.95" customHeight="1" x14ac:dyDescent="0.25">
      <c r="A232" s="243"/>
      <c r="B232" s="46"/>
      <c r="C232" s="6"/>
      <c r="D232" s="66"/>
      <c r="E232" s="123"/>
      <c r="F232" s="727"/>
      <c r="G232" s="734"/>
      <c r="H232" s="59" t="s">
        <v>358</v>
      </c>
      <c r="I232" s="60"/>
      <c r="J232" s="60"/>
      <c r="K232" s="20"/>
      <c r="L232" s="39"/>
      <c r="M232" s="18">
        <v>1</v>
      </c>
      <c r="N232" s="20"/>
      <c r="O232" s="145"/>
      <c r="P232" s="1000"/>
    </row>
    <row r="233" spans="1:20" s="58" customFormat="1" ht="15.95" customHeight="1" x14ac:dyDescent="0.25">
      <c r="A233" s="13">
        <v>2</v>
      </c>
      <c r="B233" s="154" t="s">
        <v>996</v>
      </c>
      <c r="C233" s="6"/>
      <c r="D233" s="79"/>
      <c r="E233" s="123"/>
      <c r="F233" s="285"/>
      <c r="G233" s="122"/>
      <c r="H233" s="63"/>
      <c r="I233" s="63"/>
      <c r="J233" s="68"/>
      <c r="K233" s="79"/>
      <c r="L233" s="66"/>
      <c r="M233" s="32"/>
      <c r="N233" s="46"/>
      <c r="O233" s="145"/>
      <c r="P233" s="1000"/>
    </row>
    <row r="234" spans="1:20" s="58" customFormat="1" ht="15.95" customHeight="1" x14ac:dyDescent="0.25">
      <c r="A234" s="243"/>
      <c r="B234" s="46" t="s">
        <v>350</v>
      </c>
      <c r="C234" s="17">
        <v>4</v>
      </c>
      <c r="D234" s="69" t="s">
        <v>929</v>
      </c>
      <c r="E234" s="125">
        <v>9308098323</v>
      </c>
      <c r="F234" s="810" t="s">
        <v>944</v>
      </c>
      <c r="G234" s="715">
        <v>47508</v>
      </c>
      <c r="H234" s="60" t="s">
        <v>18</v>
      </c>
      <c r="I234" s="60" t="s">
        <v>231</v>
      </c>
      <c r="J234" s="67" t="s">
        <v>20</v>
      </c>
      <c r="K234" s="81">
        <v>1545011</v>
      </c>
      <c r="L234" s="95">
        <v>46081</v>
      </c>
      <c r="M234" s="25">
        <v>21</v>
      </c>
      <c r="N234" s="81" t="s">
        <v>452</v>
      </c>
      <c r="O234" s="145"/>
      <c r="P234" s="1006" t="s">
        <v>891</v>
      </c>
    </row>
    <row r="235" spans="1:20" s="58" customFormat="1" ht="15.95" customHeight="1" x14ac:dyDescent="0.25">
      <c r="A235" s="243"/>
      <c r="B235" s="64" t="s">
        <v>352</v>
      </c>
      <c r="C235" s="14">
        <v>5</v>
      </c>
      <c r="D235" s="79" t="s">
        <v>362</v>
      </c>
      <c r="E235" s="217">
        <v>9456628383</v>
      </c>
      <c r="F235" s="221" t="s">
        <v>617</v>
      </c>
      <c r="G235" s="743"/>
      <c r="H235" s="59" t="s">
        <v>26</v>
      </c>
      <c r="I235" s="119" t="s">
        <v>43</v>
      </c>
      <c r="J235" s="60" t="s">
        <v>176</v>
      </c>
      <c r="K235" s="81">
        <v>1558145</v>
      </c>
      <c r="L235" s="39">
        <v>46081</v>
      </c>
      <c r="M235" s="18">
        <v>24</v>
      </c>
      <c r="N235" s="20">
        <v>24</v>
      </c>
      <c r="O235" s="145"/>
      <c r="P235" s="1006" t="s">
        <v>891</v>
      </c>
    </row>
    <row r="236" spans="1:20" s="58" customFormat="1" ht="15.95" customHeight="1" x14ac:dyDescent="0.25">
      <c r="A236" s="243"/>
      <c r="B236" s="46"/>
      <c r="C236" s="158">
        <v>6</v>
      </c>
      <c r="D236" s="69" t="s">
        <v>693</v>
      </c>
      <c r="E236" s="149">
        <v>9757415313</v>
      </c>
      <c r="F236" s="149" t="s">
        <v>653</v>
      </c>
      <c r="G236" s="718">
        <v>47148</v>
      </c>
      <c r="H236" s="59" t="s">
        <v>23</v>
      </c>
      <c r="I236" s="119" t="s">
        <v>43</v>
      </c>
      <c r="J236" s="60"/>
      <c r="K236" s="20" t="s">
        <v>356</v>
      </c>
      <c r="L236" s="39">
        <v>47673</v>
      </c>
      <c r="M236" s="18">
        <v>24</v>
      </c>
      <c r="N236" s="20">
        <v>24</v>
      </c>
      <c r="O236" s="200"/>
      <c r="P236" s="1006" t="s">
        <v>886</v>
      </c>
    </row>
    <row r="237" spans="1:20" s="58" customFormat="1" ht="15.95" customHeight="1" x14ac:dyDescent="0.25">
      <c r="A237" s="243"/>
      <c r="B237" s="46"/>
      <c r="C237" s="6"/>
      <c r="D237" s="66"/>
      <c r="E237" s="123"/>
      <c r="F237" s="805"/>
      <c r="G237" s="734"/>
      <c r="H237" s="59" t="s">
        <v>357</v>
      </c>
      <c r="I237" s="119"/>
      <c r="J237" s="60"/>
      <c r="K237" s="81"/>
      <c r="L237" s="69"/>
      <c r="M237" s="25">
        <v>1</v>
      </c>
      <c r="N237" s="20"/>
      <c r="O237" s="200"/>
      <c r="P237" s="1000"/>
      <c r="R237" s="79"/>
      <c r="S237" s="79"/>
      <c r="T237" s="79"/>
    </row>
    <row r="238" spans="1:20" s="58" customFormat="1" ht="15.95" customHeight="1" x14ac:dyDescent="0.25">
      <c r="A238" s="243"/>
      <c r="B238" s="46"/>
      <c r="C238" s="6"/>
      <c r="D238" s="79"/>
      <c r="E238" s="123"/>
      <c r="F238" s="285"/>
      <c r="G238" s="734"/>
      <c r="H238" s="59" t="s">
        <v>358</v>
      </c>
      <c r="I238" s="119"/>
      <c r="J238" s="60"/>
      <c r="K238" s="81"/>
      <c r="M238" s="25">
        <v>1</v>
      </c>
      <c r="N238" s="20"/>
      <c r="O238" s="200"/>
      <c r="P238" s="1000"/>
    </row>
    <row r="239" spans="1:20" s="79" customFormat="1" ht="15.95" customHeight="1" x14ac:dyDescent="0.25">
      <c r="A239" s="13">
        <v>3</v>
      </c>
      <c r="B239" s="154" t="s">
        <v>997</v>
      </c>
      <c r="C239" s="6"/>
      <c r="D239" s="884"/>
      <c r="E239" s="123"/>
      <c r="F239" s="811"/>
      <c r="G239" s="122"/>
      <c r="H239" s="119"/>
      <c r="I239" s="119"/>
      <c r="J239" s="60"/>
      <c r="K239" s="13"/>
      <c r="L239" s="39"/>
      <c r="M239" s="18"/>
      <c r="N239" s="20"/>
      <c r="O239" s="200"/>
      <c r="P239" s="1000"/>
      <c r="R239" s="58"/>
      <c r="S239" s="58"/>
      <c r="T239" s="58"/>
    </row>
    <row r="240" spans="1:20" s="58" customFormat="1" ht="15.95" customHeight="1" x14ac:dyDescent="0.25">
      <c r="A240" s="243"/>
      <c r="B240" s="75" t="s">
        <v>350</v>
      </c>
      <c r="C240" s="17">
        <v>7</v>
      </c>
      <c r="D240" s="69" t="s">
        <v>467</v>
      </c>
      <c r="E240" s="125">
        <v>9918575486</v>
      </c>
      <c r="F240" s="720" t="s">
        <v>523</v>
      </c>
      <c r="G240" s="715">
        <v>45752</v>
      </c>
      <c r="H240" s="60" t="s">
        <v>18</v>
      </c>
      <c r="I240" s="119" t="s">
        <v>19</v>
      </c>
      <c r="J240" s="60" t="s">
        <v>20</v>
      </c>
      <c r="K240" s="13" t="s">
        <v>571</v>
      </c>
      <c r="L240" s="39">
        <v>48624</v>
      </c>
      <c r="M240" s="18">
        <v>21</v>
      </c>
      <c r="N240" s="20" t="s">
        <v>452</v>
      </c>
      <c r="O240" s="200"/>
      <c r="P240" s="1005" t="s">
        <v>899</v>
      </c>
    </row>
    <row r="241" spans="1:16" s="58" customFormat="1" ht="15.95" customHeight="1" x14ac:dyDescent="0.25">
      <c r="A241" s="243"/>
      <c r="B241" s="559" t="s">
        <v>352</v>
      </c>
      <c r="C241" s="14">
        <v>8</v>
      </c>
      <c r="D241" s="65" t="s">
        <v>359</v>
      </c>
      <c r="E241" s="125">
        <v>9162676328</v>
      </c>
      <c r="F241" s="810" t="s">
        <v>522</v>
      </c>
      <c r="G241" s="739">
        <v>45927</v>
      </c>
      <c r="H241" s="59" t="s">
        <v>26</v>
      </c>
      <c r="I241" s="119" t="s">
        <v>43</v>
      </c>
      <c r="J241" s="60" t="s">
        <v>25</v>
      </c>
      <c r="K241" s="28" t="s">
        <v>581</v>
      </c>
      <c r="L241" s="39">
        <v>48624</v>
      </c>
      <c r="M241" s="18">
        <v>24</v>
      </c>
      <c r="N241" s="20">
        <v>24</v>
      </c>
      <c r="O241" s="200"/>
      <c r="P241" s="1005" t="s">
        <v>899</v>
      </c>
    </row>
    <row r="242" spans="1:16" s="58" customFormat="1" ht="15.95" customHeight="1" x14ac:dyDescent="0.25">
      <c r="A242" s="243" t="s">
        <v>296</v>
      </c>
      <c r="B242" s="34" t="s">
        <v>352</v>
      </c>
      <c r="C242" s="73">
        <v>9</v>
      </c>
      <c r="D242" s="885" t="s">
        <v>942</v>
      </c>
      <c r="E242" s="217" t="s">
        <v>296</v>
      </c>
      <c r="F242" s="812" t="s">
        <v>902</v>
      </c>
      <c r="G242" s="752">
        <v>46146</v>
      </c>
      <c r="H242" s="59" t="s">
        <v>26</v>
      </c>
      <c r="I242" s="119" t="s">
        <v>43</v>
      </c>
      <c r="J242" s="60" t="s">
        <v>25</v>
      </c>
      <c r="K242" s="20" t="s">
        <v>360</v>
      </c>
      <c r="L242" s="39">
        <v>47720</v>
      </c>
      <c r="M242" s="18">
        <v>24</v>
      </c>
      <c r="N242" s="20">
        <v>24</v>
      </c>
      <c r="O242" s="200"/>
      <c r="P242" s="1005" t="s">
        <v>900</v>
      </c>
    </row>
    <row r="243" spans="1:16" s="58" customFormat="1" ht="15.95" customHeight="1" x14ac:dyDescent="0.25">
      <c r="A243" s="243"/>
      <c r="B243" s="46"/>
      <c r="C243" s="85"/>
      <c r="D243" s="879"/>
      <c r="E243" s="219"/>
      <c r="F243" s="812"/>
      <c r="G243" s="735"/>
      <c r="H243" s="59" t="s">
        <v>357</v>
      </c>
      <c r="I243" s="119"/>
      <c r="J243" s="60"/>
      <c r="K243" s="20"/>
      <c r="L243" s="39"/>
      <c r="M243" s="18">
        <v>1</v>
      </c>
      <c r="N243" s="20"/>
      <c r="O243" s="200"/>
      <c r="P243" s="1000"/>
    </row>
    <row r="244" spans="1:16" s="58" customFormat="1" ht="15.95" customHeight="1" x14ac:dyDescent="0.25">
      <c r="A244" s="243"/>
      <c r="B244" s="46"/>
      <c r="C244" s="6"/>
      <c r="D244" s="66"/>
      <c r="E244" s="123"/>
      <c r="F244" s="727"/>
      <c r="G244" s="734"/>
      <c r="H244" s="59" t="s">
        <v>358</v>
      </c>
      <c r="I244" s="60"/>
      <c r="J244" s="60"/>
      <c r="K244" s="20"/>
      <c r="L244" s="39"/>
      <c r="M244" s="18">
        <v>1</v>
      </c>
      <c r="N244" s="20"/>
      <c r="O244" s="200"/>
      <c r="P244" s="1000"/>
    </row>
    <row r="245" spans="1:16" s="58" customFormat="1" ht="15.95" customHeight="1" x14ac:dyDescent="0.25">
      <c r="A245" s="13">
        <v>4</v>
      </c>
      <c r="B245" s="154" t="s">
        <v>999</v>
      </c>
      <c r="C245" s="6"/>
      <c r="D245" s="79"/>
      <c r="E245" s="123"/>
      <c r="F245" s="805"/>
      <c r="G245" s="734"/>
      <c r="H245" s="63"/>
      <c r="I245" s="63"/>
      <c r="J245" s="63"/>
      <c r="K245" s="79"/>
      <c r="L245" s="112"/>
      <c r="M245" s="32"/>
      <c r="N245" s="79"/>
      <c r="O245" s="200"/>
      <c r="P245" s="1000"/>
    </row>
    <row r="246" spans="1:16" s="58" customFormat="1" ht="15.95" customHeight="1" x14ac:dyDescent="0.25">
      <c r="A246" s="243"/>
      <c r="B246" s="75" t="s">
        <v>350</v>
      </c>
      <c r="C246" s="17">
        <v>10</v>
      </c>
      <c r="D246" s="710" t="s">
        <v>695</v>
      </c>
      <c r="E246" s="125">
        <v>9385523270</v>
      </c>
      <c r="F246" s="813" t="s">
        <v>696</v>
      </c>
      <c r="G246" s="740">
        <v>46972</v>
      </c>
      <c r="H246" s="60" t="s">
        <v>18</v>
      </c>
      <c r="I246" s="60" t="s">
        <v>43</v>
      </c>
      <c r="J246" s="60" t="s">
        <v>20</v>
      </c>
      <c r="K246" s="24" t="s">
        <v>361</v>
      </c>
      <c r="L246" s="95">
        <v>48717</v>
      </c>
      <c r="M246" s="25">
        <v>21</v>
      </c>
      <c r="N246" s="81" t="s">
        <v>452</v>
      </c>
      <c r="O246" s="200"/>
      <c r="P246" s="1041" t="s">
        <v>890</v>
      </c>
    </row>
    <row r="247" spans="1:16" s="58" customFormat="1" ht="15.95" customHeight="1" x14ac:dyDescent="0.25">
      <c r="A247" s="243"/>
      <c r="B247" s="34" t="s">
        <v>352</v>
      </c>
      <c r="C247" s="73">
        <v>11</v>
      </c>
      <c r="D247" s="69" t="s">
        <v>939</v>
      </c>
      <c r="E247" s="125">
        <v>9092983694</v>
      </c>
      <c r="F247" s="810" t="s">
        <v>940</v>
      </c>
      <c r="G247" s="739">
        <v>47256</v>
      </c>
      <c r="H247" s="703" t="s">
        <v>26</v>
      </c>
      <c r="I247" s="704" t="s">
        <v>43</v>
      </c>
      <c r="J247" s="74" t="s">
        <v>25</v>
      </c>
      <c r="K247" s="1115">
        <v>1558145</v>
      </c>
      <c r="L247" s="206">
        <v>46078</v>
      </c>
      <c r="M247" s="76">
        <v>24</v>
      </c>
      <c r="N247" s="705">
        <v>24</v>
      </c>
      <c r="O247" s="200" t="s">
        <v>296</v>
      </c>
      <c r="P247" s="1005" t="s">
        <v>891</v>
      </c>
    </row>
    <row r="248" spans="1:16" s="58" customFormat="1" ht="15.95" customHeight="1" x14ac:dyDescent="0.25">
      <c r="A248" s="27"/>
      <c r="B248" s="713" t="s">
        <v>352</v>
      </c>
      <c r="C248" s="158">
        <v>12</v>
      </c>
      <c r="D248" s="106" t="s">
        <v>146</v>
      </c>
      <c r="E248" s="125" t="s">
        <v>147</v>
      </c>
      <c r="F248" s="717" t="s">
        <v>686</v>
      </c>
      <c r="G248" s="715">
        <v>47036</v>
      </c>
      <c r="H248" s="67" t="s">
        <v>26</v>
      </c>
      <c r="I248" s="115" t="s">
        <v>43</v>
      </c>
      <c r="J248" s="67" t="s">
        <v>176</v>
      </c>
      <c r="K248" s="995" t="s">
        <v>885</v>
      </c>
      <c r="L248" s="95">
        <v>48085</v>
      </c>
      <c r="M248" s="25">
        <v>24</v>
      </c>
      <c r="N248" s="81">
        <v>24</v>
      </c>
      <c r="O248" s="200"/>
      <c r="P248" s="1005" t="s">
        <v>892</v>
      </c>
    </row>
    <row r="249" spans="1:16" s="58" customFormat="1" ht="15.95" customHeight="1" x14ac:dyDescent="0.25">
      <c r="A249" s="243"/>
      <c r="B249" s="46"/>
      <c r="C249" s="6"/>
      <c r="D249" s="66"/>
      <c r="E249" s="123"/>
      <c r="F249" s="719"/>
      <c r="G249" s="734"/>
      <c r="H249" s="177" t="s">
        <v>357</v>
      </c>
      <c r="I249" s="177"/>
      <c r="J249" s="177"/>
      <c r="K249" s="706"/>
      <c r="L249" s="707"/>
      <c r="M249" s="708">
        <v>1</v>
      </c>
      <c r="N249" s="706">
        <v>1</v>
      </c>
      <c r="O249" s="200"/>
      <c r="P249" s="1000"/>
    </row>
    <row r="250" spans="1:16" s="58" customFormat="1" ht="15.95" customHeight="1" x14ac:dyDescent="0.25">
      <c r="A250" s="243"/>
      <c r="B250" s="46"/>
      <c r="C250" s="6"/>
      <c r="D250" s="66"/>
      <c r="E250" s="123"/>
      <c r="F250" s="719"/>
      <c r="G250" s="734"/>
      <c r="H250" s="67" t="s">
        <v>358</v>
      </c>
      <c r="I250" s="67"/>
      <c r="J250" s="67"/>
      <c r="K250" s="81"/>
      <c r="L250" s="69"/>
      <c r="M250" s="25">
        <v>1</v>
      </c>
      <c r="N250" s="81">
        <v>1</v>
      </c>
      <c r="O250" s="200"/>
      <c r="P250" s="1000"/>
    </row>
    <row r="251" spans="1:16" s="58" customFormat="1" ht="15.95" customHeight="1" x14ac:dyDescent="0.25">
      <c r="A251" s="13">
        <v>4</v>
      </c>
      <c r="B251" s="154" t="s">
        <v>998</v>
      </c>
      <c r="C251" s="6"/>
      <c r="D251" s="79"/>
      <c r="E251" s="123"/>
      <c r="F251" s="805"/>
      <c r="G251" s="734"/>
      <c r="H251" s="88"/>
      <c r="I251" s="88"/>
      <c r="J251" s="88"/>
      <c r="K251" s="96"/>
      <c r="L251" s="207"/>
      <c r="M251" s="179"/>
      <c r="N251" s="96"/>
      <c r="O251" s="200"/>
      <c r="P251" s="1043"/>
    </row>
    <row r="252" spans="1:16" s="58" customFormat="1" ht="15.75" customHeight="1" x14ac:dyDescent="0.25">
      <c r="A252" s="243"/>
      <c r="B252" s="75" t="s">
        <v>350</v>
      </c>
      <c r="C252" s="158">
        <v>13</v>
      </c>
      <c r="D252" s="69" t="s">
        <v>941</v>
      </c>
      <c r="E252" s="125">
        <v>9816084431</v>
      </c>
      <c r="F252" s="720" t="s">
        <v>663</v>
      </c>
      <c r="G252" s="718"/>
      <c r="H252" s="57" t="s">
        <v>18</v>
      </c>
      <c r="I252" s="965" t="s">
        <v>43</v>
      </c>
      <c r="J252" s="57" t="s">
        <v>20</v>
      </c>
      <c r="K252" s="44" t="s">
        <v>904</v>
      </c>
      <c r="L252" s="1040" t="s">
        <v>905</v>
      </c>
      <c r="M252" s="708">
        <v>21</v>
      </c>
      <c r="N252" s="706" t="s">
        <v>452</v>
      </c>
      <c r="O252" s="1042"/>
      <c r="P252" s="1041" t="s">
        <v>890</v>
      </c>
    </row>
    <row r="253" spans="1:16" s="58" customFormat="1" ht="15.95" customHeight="1" x14ac:dyDescent="0.25">
      <c r="A253" s="243"/>
      <c r="B253" s="34" t="s">
        <v>352</v>
      </c>
      <c r="C253" s="158">
        <v>14</v>
      </c>
      <c r="D253" s="24" t="s">
        <v>835</v>
      </c>
      <c r="E253" s="125" t="s">
        <v>89</v>
      </c>
      <c r="F253" s="126" t="s">
        <v>880</v>
      </c>
      <c r="G253" s="715">
        <v>47148</v>
      </c>
      <c r="H253" s="703" t="s">
        <v>26</v>
      </c>
      <c r="I253" s="704" t="s">
        <v>43</v>
      </c>
      <c r="J253" s="74" t="s">
        <v>25</v>
      </c>
      <c r="K253" s="6" t="s">
        <v>933</v>
      </c>
      <c r="L253" s="206">
        <v>47744</v>
      </c>
      <c r="M253" s="76">
        <v>24</v>
      </c>
      <c r="N253" s="705">
        <v>24</v>
      </c>
      <c r="O253" s="200" t="s">
        <v>296</v>
      </c>
      <c r="P253" s="1006" t="s">
        <v>890</v>
      </c>
    </row>
    <row r="254" spans="1:16" s="58" customFormat="1" ht="15.95" customHeight="1" x14ac:dyDescent="0.25">
      <c r="A254" s="27"/>
      <c r="B254" s="713" t="s">
        <v>352</v>
      </c>
      <c r="C254" s="158">
        <v>15</v>
      </c>
      <c r="D254" s="81" t="s">
        <v>796</v>
      </c>
      <c r="E254" s="20">
        <v>9552463137</v>
      </c>
      <c r="F254" s="718" t="s">
        <v>879</v>
      </c>
      <c r="G254" s="715">
        <v>45993</v>
      </c>
      <c r="H254" s="67" t="s">
        <v>26</v>
      </c>
      <c r="I254" s="115" t="s">
        <v>43</v>
      </c>
      <c r="J254" s="67" t="s">
        <v>176</v>
      </c>
      <c r="K254" s="81">
        <v>873501</v>
      </c>
      <c r="L254" s="95" t="s">
        <v>906</v>
      </c>
      <c r="M254" s="25">
        <v>24</v>
      </c>
      <c r="N254" s="81">
        <v>24</v>
      </c>
      <c r="O254" s="200"/>
      <c r="P254" s="1006" t="s">
        <v>890</v>
      </c>
    </row>
    <row r="255" spans="1:16" s="58" customFormat="1" ht="15.95" customHeight="1" x14ac:dyDescent="0.25">
      <c r="A255" s="243"/>
      <c r="B255" s="46"/>
      <c r="C255" s="6"/>
      <c r="D255" s="66"/>
      <c r="E255" s="123"/>
      <c r="F255" s="719"/>
      <c r="G255" s="734"/>
      <c r="H255" s="177" t="s">
        <v>357</v>
      </c>
      <c r="I255" s="177"/>
      <c r="J255" s="177"/>
      <c r="K255" s="706"/>
      <c r="L255" s="707"/>
      <c r="M255" s="708">
        <v>1</v>
      </c>
      <c r="N255" s="706">
        <v>1</v>
      </c>
      <c r="O255" s="200"/>
      <c r="P255" s="1000"/>
    </row>
    <row r="256" spans="1:16" s="58" customFormat="1" ht="15.95" customHeight="1" x14ac:dyDescent="0.25">
      <c r="A256" s="243"/>
      <c r="B256" s="46"/>
      <c r="C256" s="6"/>
      <c r="D256" s="31"/>
      <c r="E256" s="123"/>
      <c r="F256" s="122"/>
      <c r="G256" s="734"/>
      <c r="H256" s="67" t="s">
        <v>358</v>
      </c>
      <c r="I256" s="67"/>
      <c r="J256" s="67"/>
      <c r="K256" s="81"/>
      <c r="L256" s="69"/>
      <c r="M256" s="25">
        <v>1</v>
      </c>
      <c r="N256" s="81">
        <v>1</v>
      </c>
      <c r="O256" s="200"/>
      <c r="P256" s="1000"/>
    </row>
    <row r="257" spans="1:16" s="58" customFormat="1" ht="15.95" customHeight="1" x14ac:dyDescent="0.25">
      <c r="A257" s="243"/>
      <c r="B257" s="46"/>
      <c r="C257" s="6"/>
      <c r="D257" s="66"/>
      <c r="E257" s="123"/>
      <c r="F257" s="719"/>
      <c r="G257" s="734"/>
      <c r="H257" s="68"/>
      <c r="I257" s="68"/>
      <c r="J257" s="68"/>
      <c r="K257" s="79"/>
      <c r="L257" s="66"/>
      <c r="M257" s="32"/>
      <c r="N257" s="79"/>
      <c r="O257" s="200"/>
      <c r="P257" s="1000"/>
    </row>
    <row r="258" spans="1:16" s="58" customFormat="1" ht="15.95" customHeight="1" x14ac:dyDescent="0.25">
      <c r="A258" s="243"/>
      <c r="B258" s="46"/>
      <c r="C258" s="6"/>
      <c r="D258" s="66"/>
      <c r="E258" s="123"/>
      <c r="F258" s="719"/>
      <c r="G258" s="734"/>
      <c r="H258" s="68"/>
      <c r="I258" s="68"/>
      <c r="J258" s="68"/>
      <c r="K258" s="79"/>
      <c r="L258" s="66"/>
      <c r="M258" s="32"/>
      <c r="N258" s="79"/>
      <c r="O258" s="200"/>
      <c r="P258" s="1000"/>
    </row>
    <row r="259" spans="1:16" s="58" customFormat="1" ht="15.95" customHeight="1" x14ac:dyDescent="0.25">
      <c r="A259" s="13">
        <v>5</v>
      </c>
      <c r="B259" s="13" t="s">
        <v>859</v>
      </c>
      <c r="C259" s="86"/>
      <c r="D259" s="96"/>
      <c r="E259" s="830"/>
      <c r="F259" s="831"/>
      <c r="G259" s="781"/>
      <c r="H259" s="88"/>
      <c r="I259" s="88"/>
      <c r="J259" s="88"/>
      <c r="K259" s="87"/>
      <c r="L259" s="172"/>
      <c r="M259" s="47"/>
      <c r="N259" s="87"/>
      <c r="O259" s="200"/>
      <c r="P259" s="1000"/>
    </row>
    <row r="260" spans="1:16" s="58" customFormat="1" ht="15.95" customHeight="1" x14ac:dyDescent="0.25">
      <c r="A260" s="243"/>
      <c r="B260" s="836" t="s">
        <v>350</v>
      </c>
      <c r="C260" s="158">
        <v>16</v>
      </c>
      <c r="D260" s="1098" t="s">
        <v>664</v>
      </c>
      <c r="E260" s="149">
        <v>9758456323</v>
      </c>
      <c r="F260" s="720" t="s">
        <v>663</v>
      </c>
      <c r="G260" s="718"/>
      <c r="H260" s="114" t="s">
        <v>39</v>
      </c>
      <c r="I260" s="114" t="s">
        <v>569</v>
      </c>
      <c r="J260" s="173" t="s">
        <v>20</v>
      </c>
      <c r="K260" s="105">
        <v>1397729</v>
      </c>
      <c r="L260" s="176">
        <v>47346</v>
      </c>
      <c r="M260" s="45">
        <v>10</v>
      </c>
      <c r="N260" s="34" t="s">
        <v>930</v>
      </c>
      <c r="O260" s="200"/>
      <c r="P260" s="1006" t="s">
        <v>890</v>
      </c>
    </row>
    <row r="261" spans="1:16" s="58" customFormat="1" ht="15.95" customHeight="1" x14ac:dyDescent="0.25">
      <c r="A261" s="243"/>
      <c r="B261" s="840" t="s">
        <v>352</v>
      </c>
      <c r="C261" s="158">
        <v>17</v>
      </c>
      <c r="D261" s="69" t="s">
        <v>946</v>
      </c>
      <c r="E261" s="149"/>
      <c r="F261" s="720" t="s">
        <v>994</v>
      </c>
      <c r="G261" s="718">
        <v>46130</v>
      </c>
      <c r="H261" s="113" t="s">
        <v>26</v>
      </c>
      <c r="I261" s="114" t="s">
        <v>43</v>
      </c>
      <c r="J261" s="114" t="s">
        <v>25</v>
      </c>
      <c r="K261" s="898" t="s">
        <v>818</v>
      </c>
      <c r="L261" s="155">
        <v>48085</v>
      </c>
      <c r="M261" s="120">
        <v>10</v>
      </c>
      <c r="N261" s="20">
        <v>10</v>
      </c>
      <c r="O261" s="200"/>
      <c r="P261" s="1006" t="s">
        <v>892</v>
      </c>
    </row>
    <row r="262" spans="1:16" s="58" customFormat="1" ht="15.95" customHeight="1" x14ac:dyDescent="0.25">
      <c r="A262" s="243"/>
      <c r="B262" s="105" t="s">
        <v>352</v>
      </c>
      <c r="C262" s="158">
        <v>18</v>
      </c>
      <c r="D262" s="66" t="s">
        <v>637</v>
      </c>
      <c r="E262" s="220"/>
      <c r="F262" s="812" t="s">
        <v>945</v>
      </c>
      <c r="G262" s="752">
        <v>47744</v>
      </c>
      <c r="H262" s="832" t="s">
        <v>26</v>
      </c>
      <c r="I262" s="163" t="s">
        <v>43</v>
      </c>
      <c r="J262" s="162" t="s">
        <v>25</v>
      </c>
      <c r="K262" s="160" t="s">
        <v>873</v>
      </c>
      <c r="L262" s="205">
        <v>47673</v>
      </c>
      <c r="M262" s="121">
        <v>10</v>
      </c>
      <c r="N262" s="75">
        <v>10</v>
      </c>
      <c r="O262" s="200" t="s">
        <v>296</v>
      </c>
      <c r="P262" s="1006" t="s">
        <v>886</v>
      </c>
    </row>
    <row r="263" spans="1:16" s="58" customFormat="1" ht="15.95" customHeight="1" x14ac:dyDescent="0.25">
      <c r="A263" s="13">
        <v>6</v>
      </c>
      <c r="B263" s="109" t="s">
        <v>368</v>
      </c>
      <c r="C263" s="15"/>
      <c r="D263" s="710"/>
      <c r="E263" s="834"/>
      <c r="F263" s="810"/>
      <c r="G263" s="809"/>
      <c r="H263" s="835"/>
      <c r="I263" s="835"/>
      <c r="J263" s="835"/>
      <c r="K263" s="80"/>
      <c r="L263" s="55"/>
      <c r="M263" s="56"/>
      <c r="N263" s="84"/>
      <c r="O263" s="200"/>
      <c r="P263" s="1000"/>
    </row>
    <row r="264" spans="1:16" s="58" customFormat="1" ht="15.95" customHeight="1" x14ac:dyDescent="0.25">
      <c r="A264" s="243"/>
      <c r="B264" s="836" t="s">
        <v>369</v>
      </c>
      <c r="C264" s="158">
        <v>19</v>
      </c>
      <c r="D264" s="886" t="s">
        <v>370</v>
      </c>
      <c r="E264" s="150" t="s">
        <v>371</v>
      </c>
      <c r="F264" s="815" t="s">
        <v>552</v>
      </c>
      <c r="G264" s="833"/>
      <c r="H264" s="173" t="s">
        <v>18</v>
      </c>
      <c r="I264" s="173" t="s">
        <v>19</v>
      </c>
      <c r="J264" s="173" t="s">
        <v>20</v>
      </c>
      <c r="K264" s="40">
        <v>1545011</v>
      </c>
      <c r="L264" s="176">
        <v>46081</v>
      </c>
      <c r="M264" s="45">
        <v>10</v>
      </c>
      <c r="N264" s="34" t="s">
        <v>372</v>
      </c>
      <c r="O264" s="66"/>
      <c r="P264" s="1005" t="s">
        <v>891</v>
      </c>
    </row>
    <row r="265" spans="1:16" s="58" customFormat="1" ht="15.95" customHeight="1" x14ac:dyDescent="0.25">
      <c r="A265" s="243"/>
      <c r="B265" s="840" t="s">
        <v>373</v>
      </c>
      <c r="C265" s="158">
        <v>20</v>
      </c>
      <c r="D265" s="65" t="s">
        <v>374</v>
      </c>
      <c r="E265" s="149" t="s">
        <v>375</v>
      </c>
      <c r="F265" s="810" t="s">
        <v>789</v>
      </c>
      <c r="G265" s="740">
        <v>45405</v>
      </c>
      <c r="H265" s="113" t="s">
        <v>26</v>
      </c>
      <c r="I265" s="114" t="s">
        <v>198</v>
      </c>
      <c r="J265" s="114" t="s">
        <v>25</v>
      </c>
      <c r="K265" s="13">
        <v>5559376</v>
      </c>
      <c r="L265" s="155">
        <v>48085</v>
      </c>
      <c r="M265" s="18">
        <v>5</v>
      </c>
      <c r="N265" s="20">
        <v>10</v>
      </c>
      <c r="O265" s="200"/>
      <c r="P265" s="1005" t="s">
        <v>886</v>
      </c>
    </row>
    <row r="266" spans="1:16" s="58" customFormat="1" ht="15.95" customHeight="1" x14ac:dyDescent="0.25">
      <c r="A266" s="243"/>
      <c r="B266" s="105" t="s">
        <v>373</v>
      </c>
      <c r="C266" s="158">
        <v>21</v>
      </c>
      <c r="D266" s="885" t="s">
        <v>376</v>
      </c>
      <c r="E266" s="220" t="s">
        <v>377</v>
      </c>
      <c r="F266" s="812" t="s">
        <v>788</v>
      </c>
      <c r="G266" s="752">
        <v>45405</v>
      </c>
      <c r="H266" s="832" t="s">
        <v>26</v>
      </c>
      <c r="I266" s="163" t="s">
        <v>43</v>
      </c>
      <c r="J266" s="162" t="s">
        <v>25</v>
      </c>
      <c r="K266" s="836" t="s">
        <v>378</v>
      </c>
      <c r="L266" s="205">
        <v>47673</v>
      </c>
      <c r="M266" s="121">
        <v>7</v>
      </c>
      <c r="N266" s="75">
        <v>10</v>
      </c>
      <c r="O266" s="200"/>
      <c r="P266" s="1006" t="s">
        <v>886</v>
      </c>
    </row>
    <row r="267" spans="1:16" s="58" customFormat="1" ht="15.95" customHeight="1" x14ac:dyDescent="0.25">
      <c r="A267" s="13">
        <v>7</v>
      </c>
      <c r="B267" s="109" t="s">
        <v>379</v>
      </c>
      <c r="C267" s="15"/>
      <c r="D267" s="69"/>
      <c r="E267" s="125"/>
      <c r="F267" s="720"/>
      <c r="G267" s="718"/>
      <c r="H267" s="835"/>
      <c r="I267" s="835"/>
      <c r="J267" s="711"/>
      <c r="K267" s="103"/>
      <c r="L267" s="55"/>
      <c r="M267" s="56"/>
      <c r="N267" s="84"/>
      <c r="O267" s="200"/>
      <c r="P267" s="1000"/>
    </row>
    <row r="268" spans="1:16" s="58" customFormat="1" ht="15.95" customHeight="1" x14ac:dyDescent="0.25">
      <c r="A268" s="243"/>
      <c r="B268" s="836" t="s">
        <v>369</v>
      </c>
      <c r="C268" s="158">
        <v>22</v>
      </c>
      <c r="D268" s="69" t="s">
        <v>351</v>
      </c>
      <c r="E268" s="125">
        <v>9532089907</v>
      </c>
      <c r="F268" s="720" t="s">
        <v>429</v>
      </c>
      <c r="G268" s="718">
        <v>45776</v>
      </c>
      <c r="H268" s="173" t="s">
        <v>39</v>
      </c>
      <c r="I268" s="174" t="s">
        <v>19</v>
      </c>
      <c r="J268" s="173" t="s">
        <v>20</v>
      </c>
      <c r="K268" s="105">
        <v>1397747</v>
      </c>
      <c r="L268" s="176">
        <v>47346</v>
      </c>
      <c r="M268" s="45">
        <v>10</v>
      </c>
      <c r="N268" s="34" t="s">
        <v>930</v>
      </c>
      <c r="O268" s="200"/>
      <c r="P268" s="1006" t="s">
        <v>890</v>
      </c>
    </row>
    <row r="269" spans="1:16" s="58" customFormat="1" ht="15.95" customHeight="1" x14ac:dyDescent="0.25">
      <c r="A269" s="243"/>
      <c r="B269" s="840" t="s">
        <v>373</v>
      </c>
      <c r="C269" s="158">
        <v>23</v>
      </c>
      <c r="D269" s="1077" t="s">
        <v>952</v>
      </c>
      <c r="E269" s="838"/>
      <c r="F269" s="251" t="s">
        <v>662</v>
      </c>
      <c r="G269" s="756"/>
      <c r="H269" s="113" t="s">
        <v>26</v>
      </c>
      <c r="I269" s="117" t="s">
        <v>24</v>
      </c>
      <c r="J269" s="114" t="s">
        <v>25</v>
      </c>
      <c r="K269" s="836">
        <v>6561003</v>
      </c>
      <c r="L269" s="205">
        <v>46913</v>
      </c>
      <c r="M269" s="18">
        <v>10</v>
      </c>
      <c r="N269" s="20">
        <v>10</v>
      </c>
      <c r="O269" s="200"/>
      <c r="P269" s="1006" t="s">
        <v>886</v>
      </c>
    </row>
    <row r="270" spans="1:16" s="58" customFormat="1" ht="15.95" customHeight="1" x14ac:dyDescent="0.25">
      <c r="A270" s="90"/>
      <c r="B270" s="105" t="s">
        <v>373</v>
      </c>
      <c r="C270" s="158">
        <v>24</v>
      </c>
      <c r="D270" s="885" t="s">
        <v>451</v>
      </c>
      <c r="E270" s="220">
        <v>9550331490</v>
      </c>
      <c r="F270" s="812" t="s">
        <v>617</v>
      </c>
      <c r="G270" s="752"/>
      <c r="H270" s="832" t="s">
        <v>26</v>
      </c>
      <c r="I270" s="163" t="s">
        <v>43</v>
      </c>
      <c r="J270" s="162" t="s">
        <v>25</v>
      </c>
      <c r="K270" s="13" t="s">
        <v>380</v>
      </c>
      <c r="L270" s="39">
        <v>48723</v>
      </c>
      <c r="M270" s="121">
        <v>10</v>
      </c>
      <c r="N270" s="75">
        <v>10</v>
      </c>
      <c r="O270" s="200"/>
      <c r="P270" s="1006" t="s">
        <v>890</v>
      </c>
    </row>
    <row r="271" spans="1:16" s="58" customFormat="1" ht="15.95" customHeight="1" x14ac:dyDescent="0.25">
      <c r="A271" s="13">
        <v>8</v>
      </c>
      <c r="B271" s="109" t="s">
        <v>382</v>
      </c>
      <c r="C271" s="15"/>
      <c r="D271" s="710"/>
      <c r="E271" s="834"/>
      <c r="F271" s="814"/>
      <c r="G271" s="809"/>
      <c r="H271" s="835"/>
      <c r="I271" s="835"/>
      <c r="J271" s="835"/>
      <c r="K271" s="103"/>
      <c r="L271" s="55"/>
      <c r="M271" s="56"/>
      <c r="N271" s="84"/>
      <c r="O271" s="200"/>
      <c r="P271" s="1000"/>
    </row>
    <row r="272" spans="1:16" s="58" customFormat="1" ht="15.95" customHeight="1" x14ac:dyDescent="0.25">
      <c r="A272" s="243"/>
      <c r="B272" s="836" t="s">
        <v>350</v>
      </c>
      <c r="C272" s="158">
        <v>25</v>
      </c>
      <c r="D272" s="886" t="s">
        <v>470</v>
      </c>
      <c r="E272" s="150">
        <v>9914529617</v>
      </c>
      <c r="F272" s="831" t="s">
        <v>578</v>
      </c>
      <c r="G272" s="762">
        <v>46972</v>
      </c>
      <c r="H272" s="173" t="s">
        <v>39</v>
      </c>
      <c r="I272" s="174" t="s">
        <v>19</v>
      </c>
      <c r="J272" s="173" t="s">
        <v>61</v>
      </c>
      <c r="K272" s="1117">
        <v>1545015</v>
      </c>
      <c r="L272" s="176">
        <v>46081</v>
      </c>
      <c r="M272" s="45">
        <v>20</v>
      </c>
      <c r="N272" s="34" t="s">
        <v>950</v>
      </c>
      <c r="O272" s="200"/>
      <c r="P272" s="1005" t="s">
        <v>891</v>
      </c>
    </row>
    <row r="273" spans="1:20" s="58" customFormat="1" ht="15.95" customHeight="1" x14ac:dyDescent="0.25">
      <c r="A273" s="243"/>
      <c r="B273" s="840" t="s">
        <v>352</v>
      </c>
      <c r="C273" s="158">
        <v>26</v>
      </c>
      <c r="D273" s="885" t="s">
        <v>785</v>
      </c>
      <c r="E273" s="149">
        <v>9069063848</v>
      </c>
      <c r="F273" s="780" t="s">
        <v>541</v>
      </c>
      <c r="G273" s="740"/>
      <c r="H273" s="113" t="s">
        <v>26</v>
      </c>
      <c r="I273" s="117" t="s">
        <v>43</v>
      </c>
      <c r="J273" s="114" t="s">
        <v>25</v>
      </c>
      <c r="K273" s="13" t="s">
        <v>935</v>
      </c>
      <c r="L273" s="39">
        <v>47673</v>
      </c>
      <c r="M273" s="18">
        <v>10</v>
      </c>
      <c r="N273" s="20">
        <v>10</v>
      </c>
      <c r="O273" s="200"/>
      <c r="P273" s="1006" t="s">
        <v>886</v>
      </c>
      <c r="R273"/>
      <c r="S273"/>
      <c r="T273"/>
    </row>
    <row r="274" spans="1:20" s="58" customFormat="1" ht="15.95" customHeight="1" x14ac:dyDescent="0.25">
      <c r="A274" s="243"/>
      <c r="B274" s="105" t="s">
        <v>352</v>
      </c>
      <c r="C274" s="158">
        <v>27</v>
      </c>
      <c r="D274" s="69" t="s">
        <v>946</v>
      </c>
      <c r="E274" s="838"/>
      <c r="F274" s="251"/>
      <c r="G274" s="756"/>
      <c r="H274" s="832" t="s">
        <v>26</v>
      </c>
      <c r="I274" s="163" t="s">
        <v>43</v>
      </c>
      <c r="J274" s="162" t="s">
        <v>25</v>
      </c>
      <c r="K274" s="836" t="s">
        <v>934</v>
      </c>
      <c r="L274" s="39">
        <v>47673</v>
      </c>
      <c r="M274" s="121">
        <v>10</v>
      </c>
      <c r="N274" s="75">
        <v>10</v>
      </c>
      <c r="O274" s="200"/>
      <c r="P274" s="1006" t="s">
        <v>886</v>
      </c>
      <c r="R274"/>
      <c r="S274"/>
      <c r="T274"/>
    </row>
    <row r="275" spans="1:20" x14ac:dyDescent="0.25">
      <c r="A275" s="13">
        <v>9</v>
      </c>
      <c r="B275" s="109" t="s">
        <v>387</v>
      </c>
      <c r="C275" s="15"/>
      <c r="D275" s="707"/>
      <c r="E275" s="218"/>
      <c r="F275" s="785"/>
      <c r="G275" s="761"/>
      <c r="H275" s="175"/>
      <c r="I275" s="175"/>
      <c r="J275" s="175"/>
      <c r="K275" s="839"/>
      <c r="L275" s="55"/>
      <c r="M275" s="56"/>
      <c r="N275" s="84"/>
      <c r="O275" s="200"/>
      <c r="P275" s="1000"/>
    </row>
    <row r="276" spans="1:20" x14ac:dyDescent="0.25">
      <c r="A276" s="243"/>
      <c r="B276" s="75" t="s">
        <v>350</v>
      </c>
      <c r="C276" s="158">
        <v>28</v>
      </c>
      <c r="D276" s="887" t="s">
        <v>666</v>
      </c>
      <c r="E276" s="127">
        <v>9678359366</v>
      </c>
      <c r="F276" s="815" t="s">
        <v>663</v>
      </c>
      <c r="G276" s="738"/>
      <c r="H276" s="57" t="s">
        <v>18</v>
      </c>
      <c r="I276" s="57" t="s">
        <v>19</v>
      </c>
      <c r="J276" s="57" t="s">
        <v>20</v>
      </c>
      <c r="K276" s="1116">
        <v>1545014</v>
      </c>
      <c r="L276" s="176">
        <v>46081</v>
      </c>
      <c r="M276" s="45">
        <v>21</v>
      </c>
      <c r="N276" s="34" t="s">
        <v>499</v>
      </c>
      <c r="O276" s="200"/>
      <c r="P276" s="1006" t="s">
        <v>886</v>
      </c>
    </row>
    <row r="277" spans="1:20" x14ac:dyDescent="0.25">
      <c r="A277" s="243"/>
      <c r="B277" s="559" t="s">
        <v>352</v>
      </c>
      <c r="C277" s="158">
        <v>29</v>
      </c>
      <c r="D277" s="713" t="s">
        <v>390</v>
      </c>
      <c r="E277" s="125">
        <v>9856455856</v>
      </c>
      <c r="F277" s="814" t="s">
        <v>30</v>
      </c>
      <c r="G277" s="739">
        <v>45467</v>
      </c>
      <c r="H277" s="59" t="s">
        <v>26</v>
      </c>
      <c r="I277" s="60" t="s">
        <v>43</v>
      </c>
      <c r="J277" s="60" t="s">
        <v>25</v>
      </c>
      <c r="K277" s="22" t="s">
        <v>391</v>
      </c>
      <c r="L277" s="39">
        <v>47805</v>
      </c>
      <c r="M277" s="18">
        <v>15</v>
      </c>
      <c r="N277" s="20">
        <v>15</v>
      </c>
      <c r="O277" s="200"/>
      <c r="P277" s="1006" t="s">
        <v>890</v>
      </c>
    </row>
    <row r="278" spans="1:20" x14ac:dyDescent="0.25">
      <c r="A278" s="27"/>
      <c r="B278" s="34" t="s">
        <v>352</v>
      </c>
      <c r="C278" s="158">
        <v>30</v>
      </c>
      <c r="D278" s="885" t="s">
        <v>392</v>
      </c>
      <c r="E278" s="217" t="s">
        <v>393</v>
      </c>
      <c r="F278" s="815" t="s">
        <v>367</v>
      </c>
      <c r="G278" s="743"/>
      <c r="H278" s="59" t="s">
        <v>26</v>
      </c>
      <c r="I278" s="60" t="s">
        <v>43</v>
      </c>
      <c r="J278" s="60" t="s">
        <v>25</v>
      </c>
      <c r="K278" s="20" t="s">
        <v>394</v>
      </c>
      <c r="L278" s="39">
        <v>47673</v>
      </c>
      <c r="M278" s="18">
        <v>15</v>
      </c>
      <c r="N278" s="20">
        <v>15</v>
      </c>
      <c r="O278" s="200"/>
      <c r="P278" s="1006" t="s">
        <v>886</v>
      </c>
    </row>
    <row r="279" spans="1:20" x14ac:dyDescent="0.25">
      <c r="A279" s="27"/>
      <c r="B279" s="78"/>
      <c r="C279" s="85"/>
      <c r="D279" s="879"/>
      <c r="E279" s="219"/>
      <c r="F279" s="735"/>
      <c r="G279" s="735"/>
      <c r="H279" s="62"/>
      <c r="I279" s="60" t="s">
        <v>479</v>
      </c>
      <c r="J279" s="60"/>
      <c r="K279" s="20"/>
      <c r="L279" s="39"/>
      <c r="M279" s="18">
        <v>1</v>
      </c>
      <c r="N279" s="20">
        <v>1</v>
      </c>
      <c r="O279" s="200"/>
      <c r="P279" s="1000"/>
    </row>
    <row r="280" spans="1:20" x14ac:dyDescent="0.25">
      <c r="A280" s="110">
        <v>10</v>
      </c>
      <c r="B280" s="13" t="s">
        <v>395</v>
      </c>
      <c r="C280" s="6"/>
      <c r="D280" s="66"/>
      <c r="E280" s="123"/>
      <c r="F280" s="727"/>
      <c r="G280" s="763"/>
      <c r="H280" s="88"/>
      <c r="I280" s="88"/>
      <c r="J280" s="88"/>
      <c r="K280" s="87"/>
      <c r="L280" s="172"/>
      <c r="M280" s="47"/>
      <c r="N280" s="87"/>
      <c r="O280" s="200"/>
      <c r="P280" s="1000"/>
    </row>
    <row r="281" spans="1:20" x14ac:dyDescent="0.25">
      <c r="A281" s="243"/>
      <c r="B281" s="75" t="s">
        <v>350</v>
      </c>
      <c r="C281" s="158">
        <v>31</v>
      </c>
      <c r="D281" s="69" t="s">
        <v>396</v>
      </c>
      <c r="E281" s="125" t="s">
        <v>397</v>
      </c>
      <c r="F281" s="720" t="s">
        <v>694</v>
      </c>
      <c r="G281" s="738">
        <v>47149</v>
      </c>
      <c r="H281" s="57" t="s">
        <v>18</v>
      </c>
      <c r="I281" s="57" t="s">
        <v>457</v>
      </c>
      <c r="J281" s="57" t="s">
        <v>20</v>
      </c>
      <c r="K281" s="34" t="s">
        <v>605</v>
      </c>
      <c r="L281" s="176">
        <v>48742</v>
      </c>
      <c r="M281" s="46" t="s">
        <v>398</v>
      </c>
      <c r="N281" s="34" t="s">
        <v>288</v>
      </c>
      <c r="O281" s="200"/>
      <c r="P281" s="1006" t="s">
        <v>890</v>
      </c>
    </row>
    <row r="282" spans="1:20" x14ac:dyDescent="0.25">
      <c r="A282" s="243"/>
      <c r="B282" s="559" t="s">
        <v>352</v>
      </c>
      <c r="C282" s="158">
        <v>32</v>
      </c>
      <c r="D282" s="664" t="s">
        <v>486</v>
      </c>
      <c r="E282" s="125">
        <v>9755930624</v>
      </c>
      <c r="F282" s="126" t="s">
        <v>549</v>
      </c>
      <c r="G282" s="1020">
        <v>46060</v>
      </c>
      <c r="H282" s="60" t="s">
        <v>26</v>
      </c>
      <c r="I282" s="60" t="s">
        <v>43</v>
      </c>
      <c r="J282" s="60" t="s">
        <v>25</v>
      </c>
      <c r="K282" s="20" t="s">
        <v>399</v>
      </c>
      <c r="L282" s="39">
        <v>48624</v>
      </c>
      <c r="M282" s="18">
        <v>15</v>
      </c>
      <c r="N282" s="20">
        <v>15</v>
      </c>
      <c r="O282" s="200"/>
      <c r="P282" s="1006" t="s">
        <v>896</v>
      </c>
    </row>
    <row r="283" spans="1:20" x14ac:dyDescent="0.25">
      <c r="A283" s="243"/>
      <c r="B283" s="34" t="s">
        <v>352</v>
      </c>
      <c r="C283" s="158">
        <v>33</v>
      </c>
      <c r="D283" s="69" t="s">
        <v>466</v>
      </c>
      <c r="E283" s="125">
        <v>9518107548</v>
      </c>
      <c r="F283" s="815" t="s">
        <v>367</v>
      </c>
      <c r="G283" s="21"/>
      <c r="H283" s="60" t="s">
        <v>26</v>
      </c>
      <c r="I283" s="60" t="s">
        <v>43</v>
      </c>
      <c r="J283" s="60" t="s">
        <v>25</v>
      </c>
      <c r="K283" s="20" t="s">
        <v>400</v>
      </c>
      <c r="L283" s="39">
        <v>48624</v>
      </c>
      <c r="M283" s="18">
        <v>15</v>
      </c>
      <c r="N283" s="20">
        <v>15</v>
      </c>
      <c r="O283" s="200"/>
      <c r="P283" s="1006" t="s">
        <v>896</v>
      </c>
    </row>
    <row r="284" spans="1:20" x14ac:dyDescent="0.25">
      <c r="A284" s="243"/>
      <c r="B284" s="46"/>
      <c r="C284" s="6"/>
      <c r="D284" s="66"/>
      <c r="E284" s="123"/>
      <c r="F284" s="112"/>
      <c r="G284" s="29"/>
      <c r="H284" s="74" t="s">
        <v>479</v>
      </c>
      <c r="I284" s="74"/>
      <c r="J284" s="74"/>
      <c r="K284" s="75"/>
      <c r="L284" s="205"/>
      <c r="M284" s="75">
        <v>1</v>
      </c>
      <c r="N284" s="75">
        <v>1</v>
      </c>
      <c r="O284" s="200"/>
      <c r="P284" s="1007"/>
    </row>
    <row r="285" spans="1:20" x14ac:dyDescent="0.25">
      <c r="A285" s="243"/>
      <c r="B285" s="46"/>
      <c r="C285" s="6"/>
      <c r="D285" s="66"/>
      <c r="E285" s="123"/>
      <c r="F285" s="112"/>
      <c r="G285" s="29"/>
      <c r="H285" s="77"/>
      <c r="I285" s="77"/>
      <c r="J285" s="77"/>
      <c r="K285" s="78"/>
      <c r="L285" s="83"/>
      <c r="M285" s="78"/>
      <c r="N285" s="78"/>
      <c r="O285" s="200"/>
      <c r="P285" s="1007"/>
    </row>
    <row r="286" spans="1:20" x14ac:dyDescent="0.25">
      <c r="A286" s="109">
        <v>11</v>
      </c>
      <c r="B286" s="20">
        <v>6481</v>
      </c>
      <c r="C286" s="17">
        <v>1</v>
      </c>
      <c r="D286" s="81" t="s">
        <v>524</v>
      </c>
      <c r="E286" s="123"/>
      <c r="F286" s="46"/>
      <c r="G286" s="28"/>
      <c r="H286" s="63"/>
      <c r="I286" s="3"/>
      <c r="J286" s="3"/>
      <c r="K286" s="118"/>
      <c r="L286" s="3"/>
      <c r="M286" s="3"/>
      <c r="N286" s="3"/>
      <c r="O286" s="200"/>
      <c r="P286" s="141"/>
    </row>
    <row r="287" spans="1:20" x14ac:dyDescent="0.25">
      <c r="A287" s="27"/>
      <c r="B287" s="20">
        <v>6377</v>
      </c>
      <c r="C287" s="17">
        <v>2</v>
      </c>
      <c r="D287" s="81" t="s">
        <v>524</v>
      </c>
      <c r="E287" s="123"/>
      <c r="F287" s="46"/>
      <c r="G287" s="28"/>
      <c r="H287" s="46"/>
      <c r="I287" s="3"/>
      <c r="O287" s="201"/>
      <c r="P287" s="141"/>
    </row>
    <row r="288" spans="1:20" x14ac:dyDescent="0.25">
      <c r="A288" s="27"/>
      <c r="B288" s="84"/>
      <c r="C288" s="80"/>
      <c r="D288" s="709"/>
      <c r="E288" s="123"/>
      <c r="F288" s="46"/>
      <c r="G288" s="28"/>
      <c r="H288" s="46"/>
      <c r="O288" s="201"/>
      <c r="P288" s="141"/>
    </row>
    <row r="289" spans="1:16" ht="15.75" x14ac:dyDescent="0.25">
      <c r="A289" s="1119" t="s">
        <v>401</v>
      </c>
      <c r="B289" s="1120"/>
      <c r="C289" s="233"/>
      <c r="D289" s="888"/>
      <c r="E289" s="228"/>
      <c r="F289" s="124"/>
      <c r="H289" s="123"/>
      <c r="O289" s="201"/>
      <c r="P289" s="141"/>
    </row>
    <row r="290" spans="1:16" x14ac:dyDescent="0.25">
      <c r="A290" s="13" t="s">
        <v>2</v>
      </c>
      <c r="B290" s="125" t="s">
        <v>10</v>
      </c>
      <c r="C290" s="151" t="s">
        <v>2</v>
      </c>
      <c r="D290" s="186" t="s">
        <v>402</v>
      </c>
      <c r="E290" s="125" t="s">
        <v>11</v>
      </c>
      <c r="F290" s="125" t="s">
        <v>403</v>
      </c>
      <c r="H290" s="123"/>
      <c r="J290" s="1146"/>
      <c r="K290" s="1146"/>
      <c r="L290" s="1146"/>
      <c r="M290" s="1146"/>
      <c r="N290" s="1146"/>
      <c r="O290" s="201"/>
      <c r="P290" s="141"/>
    </row>
    <row r="291" spans="1:16" x14ac:dyDescent="0.25">
      <c r="A291" s="13">
        <v>1</v>
      </c>
      <c r="B291" s="1074" t="s">
        <v>405</v>
      </c>
      <c r="C291" s="994">
        <v>1</v>
      </c>
      <c r="D291" s="889" t="s">
        <v>820</v>
      </c>
      <c r="E291" s="150" t="s">
        <v>406</v>
      </c>
      <c r="F291" s="150" t="s">
        <v>404</v>
      </c>
      <c r="G291" s="28" t="s">
        <v>483</v>
      </c>
      <c r="H291" s="123"/>
      <c r="I291" s="143"/>
      <c r="J291" s="1147"/>
      <c r="K291" s="1147"/>
      <c r="L291" s="1147"/>
      <c r="M291" s="1147"/>
      <c r="N291" s="1147"/>
      <c r="O291" s="201"/>
      <c r="P291" s="141"/>
    </row>
    <row r="292" spans="1:16" x14ac:dyDescent="0.25">
      <c r="A292" s="27"/>
      <c r="B292" s="5"/>
      <c r="C292" s="994">
        <v>2</v>
      </c>
      <c r="D292" s="890" t="s">
        <v>428</v>
      </c>
      <c r="E292" s="150" t="s">
        <v>406</v>
      </c>
      <c r="F292" s="149" t="s">
        <v>404</v>
      </c>
      <c r="G292" s="28" t="s">
        <v>483</v>
      </c>
      <c r="H292" s="123"/>
      <c r="I292" s="2"/>
      <c r="O292" s="201"/>
      <c r="P292" s="141"/>
    </row>
    <row r="293" spans="1:16" ht="15.75" x14ac:dyDescent="0.25">
      <c r="A293" s="136"/>
      <c r="B293" s="136"/>
      <c r="C293" s="690"/>
      <c r="D293" s="996"/>
      <c r="E293" s="285"/>
      <c r="F293" s="285"/>
      <c r="H293" s="3"/>
      <c r="O293" s="201"/>
    </row>
    <row r="294" spans="1:16" ht="15.75" x14ac:dyDescent="0.25">
      <c r="A294" s="136"/>
      <c r="B294" s="136"/>
      <c r="C294" s="690"/>
      <c r="D294" s="996"/>
      <c r="E294" s="285"/>
      <c r="F294" s="285"/>
      <c r="H294" s="2"/>
    </row>
    <row r="295" spans="1:16" ht="15.75" x14ac:dyDescent="0.25">
      <c r="A295" s="136"/>
      <c r="B295" s="136"/>
      <c r="C295" s="690"/>
      <c r="D295" s="996"/>
      <c r="E295" s="285"/>
      <c r="F295" s="285"/>
    </row>
    <row r="296" spans="1:16" ht="16.5" thickBot="1" x14ac:dyDescent="0.3">
      <c r="A296" s="136"/>
      <c r="B296" s="136"/>
      <c r="C296" s="690"/>
      <c r="D296" s="996"/>
      <c r="E296" s="285"/>
      <c r="F296" s="285"/>
    </row>
    <row r="297" spans="1:16" ht="15.75" thickBot="1" x14ac:dyDescent="0.3">
      <c r="A297" s="247"/>
      <c r="B297" s="394" t="s">
        <v>453</v>
      </c>
      <c r="C297" s="151" t="s">
        <v>2</v>
      </c>
      <c r="D297" s="891"/>
      <c r="E297" s="212"/>
      <c r="F297" s="128"/>
      <c r="G297" s="130"/>
    </row>
    <row r="298" spans="1:16" x14ac:dyDescent="0.25">
      <c r="A298" s="247">
        <v>4</v>
      </c>
      <c r="B298" s="393" t="s">
        <v>27</v>
      </c>
      <c r="C298" s="235">
        <v>1</v>
      </c>
      <c r="D298" s="681">
        <v>24</v>
      </c>
      <c r="E298" s="212"/>
      <c r="F298" s="128"/>
      <c r="G298" s="130"/>
    </row>
    <row r="299" spans="1:16" x14ac:dyDescent="0.25">
      <c r="A299" s="247"/>
      <c r="B299" s="133" t="s">
        <v>409</v>
      </c>
      <c r="C299" s="235">
        <v>2</v>
      </c>
      <c r="D299" s="681">
        <v>12</v>
      </c>
      <c r="E299" s="212"/>
      <c r="F299" s="128"/>
      <c r="G299" s="130"/>
    </row>
    <row r="300" spans="1:16" x14ac:dyDescent="0.25">
      <c r="A300" s="247"/>
      <c r="B300" s="133" t="s">
        <v>1005</v>
      </c>
      <c r="C300" s="235">
        <v>3</v>
      </c>
      <c r="D300" s="681">
        <v>3</v>
      </c>
      <c r="E300" s="212"/>
      <c r="F300" s="128"/>
      <c r="G300" s="130"/>
    </row>
    <row r="301" spans="1:16" x14ac:dyDescent="0.25">
      <c r="A301" s="247"/>
      <c r="B301" s="133" t="s">
        <v>410</v>
      </c>
      <c r="C301" s="235">
        <v>4</v>
      </c>
      <c r="D301" s="681">
        <v>4</v>
      </c>
      <c r="E301" s="212"/>
      <c r="F301" s="128"/>
      <c r="G301" s="130"/>
    </row>
    <row r="302" spans="1:16" x14ac:dyDescent="0.25">
      <c r="A302" s="247"/>
      <c r="B302" s="133" t="s">
        <v>411</v>
      </c>
      <c r="C302" s="235">
        <v>5</v>
      </c>
      <c r="D302" s="681">
        <v>3</v>
      </c>
      <c r="E302" s="212"/>
      <c r="F302" s="128"/>
      <c r="G302" s="130"/>
    </row>
    <row r="303" spans="1:16" x14ac:dyDescent="0.25">
      <c r="A303" s="247"/>
      <c r="B303" s="133" t="s">
        <v>506</v>
      </c>
      <c r="C303" s="235">
        <v>6</v>
      </c>
      <c r="D303" s="681">
        <v>1</v>
      </c>
      <c r="E303" s="212"/>
      <c r="F303" s="132"/>
    </row>
    <row r="304" spans="1:16" x14ac:dyDescent="0.25">
      <c r="A304" s="247"/>
      <c r="B304" s="131"/>
      <c r="C304" s="234"/>
      <c r="D304" s="891"/>
      <c r="E304" s="212"/>
      <c r="F304" s="132"/>
    </row>
    <row r="305" spans="1:6" x14ac:dyDescent="0.25">
      <c r="A305" s="248"/>
      <c r="B305" s="134"/>
      <c r="C305" s="236"/>
      <c r="D305" s="892"/>
      <c r="E305" s="212"/>
      <c r="F305" s="132"/>
    </row>
    <row r="306" spans="1:6" ht="15.75" x14ac:dyDescent="0.25">
      <c r="A306" s="1119" t="s">
        <v>412</v>
      </c>
      <c r="B306" s="1120"/>
      <c r="C306" s="1121"/>
      <c r="D306" s="892"/>
      <c r="E306" s="212"/>
      <c r="F306" s="132"/>
    </row>
    <row r="307" spans="1:6" x14ac:dyDescent="0.25">
      <c r="A307" s="900" t="s">
        <v>413</v>
      </c>
      <c r="B307" s="1122" t="s">
        <v>414</v>
      </c>
      <c r="C307" s="1123"/>
      <c r="D307" s="892"/>
      <c r="E307" s="212"/>
      <c r="F307" s="132"/>
    </row>
    <row r="308" spans="1:6" x14ac:dyDescent="0.25">
      <c r="A308" s="149">
        <v>1</v>
      </c>
      <c r="B308" s="135" t="s">
        <v>415</v>
      </c>
      <c r="C308" s="151">
        <v>3</v>
      </c>
      <c r="D308" s="892"/>
      <c r="E308" s="212"/>
      <c r="F308" s="132"/>
    </row>
    <row r="309" spans="1:6" x14ac:dyDescent="0.25">
      <c r="A309" s="149">
        <v>2</v>
      </c>
      <c r="B309" s="135" t="s">
        <v>416</v>
      </c>
      <c r="C309" s="151">
        <v>132</v>
      </c>
      <c r="D309" s="892"/>
      <c r="E309" s="212"/>
      <c r="F309" s="132"/>
    </row>
    <row r="310" spans="1:6" x14ac:dyDescent="0.25">
      <c r="A310" s="149">
        <v>3</v>
      </c>
      <c r="B310" s="135" t="s">
        <v>417</v>
      </c>
      <c r="C310" s="151">
        <v>33</v>
      </c>
      <c r="D310" s="892" t="s">
        <v>296</v>
      </c>
      <c r="E310" s="212"/>
      <c r="F310" s="132"/>
    </row>
    <row r="311" spans="1:6" x14ac:dyDescent="0.25">
      <c r="A311" s="149">
        <v>4</v>
      </c>
      <c r="B311" s="222" t="s">
        <v>607</v>
      </c>
      <c r="C311" s="151">
        <v>2</v>
      </c>
      <c r="D311" s="892"/>
      <c r="E311" s="212"/>
      <c r="F311" s="132"/>
    </row>
    <row r="312" spans="1:6" x14ac:dyDescent="0.25">
      <c r="A312" s="1124" t="s">
        <v>408</v>
      </c>
      <c r="B312" s="1125"/>
      <c r="C312" s="235">
        <f>SUM(C308:C311)</f>
        <v>170</v>
      </c>
      <c r="D312" s="892"/>
      <c r="E312" s="212"/>
      <c r="F312" s="132"/>
    </row>
    <row r="313" spans="1:6" x14ac:dyDescent="0.25">
      <c r="A313" s="899"/>
      <c r="B313" s="901"/>
      <c r="C313" s="902"/>
      <c r="D313" s="892"/>
      <c r="E313" s="212"/>
      <c r="F313" s="132"/>
    </row>
    <row r="314" spans="1:6" x14ac:dyDescent="0.25">
      <c r="A314" s="900" t="s">
        <v>418</v>
      </c>
      <c r="B314" s="1122" t="s">
        <v>419</v>
      </c>
      <c r="C314" s="1123"/>
      <c r="D314" s="892"/>
      <c r="E314" s="212"/>
      <c r="F314" s="132"/>
    </row>
    <row r="315" spans="1:6" x14ac:dyDescent="0.25">
      <c r="A315" s="149">
        <v>1</v>
      </c>
      <c r="B315" s="135" t="s">
        <v>420</v>
      </c>
      <c r="C315" s="151">
        <v>88</v>
      </c>
      <c r="D315" s="892"/>
      <c r="E315" s="212"/>
      <c r="F315" s="132"/>
    </row>
    <row r="316" spans="1:6" x14ac:dyDescent="0.25">
      <c r="A316" s="149">
        <v>2</v>
      </c>
      <c r="B316" s="135" t="s">
        <v>421</v>
      </c>
      <c r="C316" s="151">
        <v>33</v>
      </c>
      <c r="D316" s="892"/>
      <c r="E316" s="212" t="s">
        <v>503</v>
      </c>
      <c r="F316" s="132"/>
    </row>
    <row r="317" spans="1:6" x14ac:dyDescent="0.25">
      <c r="A317" s="149">
        <v>3</v>
      </c>
      <c r="B317" s="135" t="s">
        <v>422</v>
      </c>
      <c r="C317" s="151">
        <v>2</v>
      </c>
      <c r="D317" s="892"/>
      <c r="E317" s="212"/>
      <c r="F317" s="132"/>
    </row>
    <row r="318" spans="1:6" ht="15.75" x14ac:dyDescent="0.25">
      <c r="A318" s="1126" t="s">
        <v>408</v>
      </c>
      <c r="B318" s="1127"/>
      <c r="C318" s="252">
        <f>SUM(C315:C317)</f>
        <v>123</v>
      </c>
      <c r="D318" s="892"/>
      <c r="E318" s="212"/>
      <c r="F318" s="132"/>
    </row>
    <row r="319" spans="1:6" ht="15.75" x14ac:dyDescent="0.25">
      <c r="A319" s="246"/>
      <c r="B319" s="136"/>
      <c r="C319" s="237"/>
      <c r="D319" s="892"/>
      <c r="E319" s="212"/>
      <c r="F319" s="132"/>
    </row>
    <row r="320" spans="1:6" ht="15.75" x14ac:dyDescent="0.25">
      <c r="A320" s="246"/>
      <c r="B320" s="136"/>
      <c r="C320" s="237"/>
      <c r="D320" s="892"/>
      <c r="E320" s="212"/>
      <c r="F320" s="132" t="s">
        <v>296</v>
      </c>
    </row>
    <row r="321" spans="1:7" x14ac:dyDescent="0.25">
      <c r="A321" s="249" t="s">
        <v>423</v>
      </c>
      <c r="B321" s="3"/>
      <c r="C321" s="201"/>
      <c r="D321" s="893"/>
      <c r="E321" s="212"/>
      <c r="F321" s="132"/>
    </row>
    <row r="322" spans="1:7" x14ac:dyDescent="0.25">
      <c r="A322" s="269"/>
      <c r="B322" s="138" t="s">
        <v>424</v>
      </c>
      <c r="C322" s="238"/>
      <c r="D322" s="883"/>
      <c r="E322" s="212"/>
      <c r="F322" s="132"/>
    </row>
    <row r="323" spans="1:7" x14ac:dyDescent="0.25">
      <c r="A323" s="269" t="s">
        <v>425</v>
      </c>
      <c r="B323" s="138" t="s">
        <v>426</v>
      </c>
      <c r="C323" s="238"/>
      <c r="D323" s="883"/>
      <c r="E323" s="130"/>
      <c r="F323" s="3"/>
    </row>
    <row r="324" spans="1:7" x14ac:dyDescent="0.25">
      <c r="A324" s="270"/>
      <c r="B324" s="139" t="s">
        <v>427</v>
      </c>
      <c r="C324" s="239"/>
      <c r="D324" s="140"/>
      <c r="E324" s="123"/>
      <c r="F324" s="137"/>
      <c r="G324" s="137"/>
    </row>
    <row r="325" spans="1:7" x14ac:dyDescent="0.25">
      <c r="A325" s="271"/>
      <c r="B325" s="140"/>
      <c r="C325" s="239"/>
      <c r="D325" s="140"/>
      <c r="E325" s="123"/>
      <c r="F325" s="137"/>
      <c r="G325" s="137"/>
    </row>
    <row r="326" spans="1:7" x14ac:dyDescent="0.25">
      <c r="A326" s="271"/>
      <c r="B326" s="140"/>
      <c r="C326" s="239"/>
      <c r="D326" s="140"/>
      <c r="E326" s="229"/>
      <c r="F326" s="141"/>
    </row>
    <row r="327" spans="1:7" x14ac:dyDescent="0.25">
      <c r="A327" s="272"/>
      <c r="B327" s="142"/>
      <c r="C327" s="240"/>
      <c r="D327" s="142"/>
      <c r="E327" s="229"/>
      <c r="F327" s="141"/>
    </row>
    <row r="328" spans="1:7" x14ac:dyDescent="0.25">
      <c r="A328" s="272"/>
      <c r="B328" s="142"/>
      <c r="C328" s="240"/>
      <c r="D328" s="142"/>
      <c r="E328" s="229"/>
      <c r="F328" s="141"/>
    </row>
    <row r="329" spans="1:7" x14ac:dyDescent="0.25">
      <c r="A329" s="272"/>
      <c r="B329" s="142"/>
      <c r="C329" s="240"/>
      <c r="D329" s="142"/>
      <c r="E329" s="230"/>
      <c r="F329" s="3"/>
    </row>
    <row r="330" spans="1:7" x14ac:dyDescent="0.25">
      <c r="A330" s="272"/>
      <c r="B330" s="142"/>
      <c r="C330" s="240"/>
      <c r="D330" s="142"/>
      <c r="E330" s="230"/>
      <c r="F330" s="3"/>
    </row>
    <row r="331" spans="1:7" x14ac:dyDescent="0.25">
      <c r="A331" s="272"/>
      <c r="B331" s="697" t="s">
        <v>823</v>
      </c>
      <c r="C331" s="697"/>
      <c r="D331" s="894"/>
      <c r="E331" s="230"/>
      <c r="F331" s="3"/>
    </row>
    <row r="332" spans="1:7" ht="15.75" x14ac:dyDescent="0.25">
      <c r="A332" s="272"/>
      <c r="B332" s="698"/>
      <c r="C332" s="698"/>
      <c r="D332" s="894"/>
      <c r="E332" s="230"/>
      <c r="F332" s="3"/>
    </row>
    <row r="333" spans="1:7" ht="15.75" x14ac:dyDescent="0.25">
      <c r="A333" s="272"/>
      <c r="B333" s="699" t="s">
        <v>824</v>
      </c>
      <c r="C333" s="698"/>
      <c r="D333" s="894"/>
      <c r="E333" s="697" t="s">
        <v>826</v>
      </c>
      <c r="F333" s="697"/>
    </row>
    <row r="334" spans="1:7" ht="30" x14ac:dyDescent="0.25">
      <c r="A334" s="272"/>
      <c r="B334" s="1118" t="s">
        <v>825</v>
      </c>
      <c r="C334" s="701"/>
      <c r="D334" s="894"/>
      <c r="E334" s="700"/>
      <c r="F334" s="700"/>
    </row>
    <row r="335" spans="1:7" x14ac:dyDescent="0.25">
      <c r="A335" s="272"/>
      <c r="B335" s="142"/>
      <c r="C335" s="240"/>
      <c r="D335" s="142"/>
      <c r="E335" s="699" t="s">
        <v>827</v>
      </c>
      <c r="F335" s="699"/>
    </row>
    <row r="336" spans="1:7" x14ac:dyDescent="0.25">
      <c r="A336" s="245"/>
      <c r="B336" s="3"/>
      <c r="D336" s="895"/>
      <c r="E336" s="702" t="s">
        <v>828</v>
      </c>
      <c r="F336" s="702"/>
    </row>
    <row r="337" spans="1:7" x14ac:dyDescent="0.25">
      <c r="B337" s="3"/>
      <c r="D337" s="896"/>
      <c r="E337" s="231"/>
      <c r="F337" s="143"/>
      <c r="G337" s="143"/>
    </row>
    <row r="338" spans="1:7" x14ac:dyDescent="0.25">
      <c r="A338" s="250"/>
      <c r="B338" s="143"/>
      <c r="C338" s="241"/>
      <c r="F338" s="2"/>
      <c r="G338" s="2"/>
    </row>
    <row r="339" spans="1:7" x14ac:dyDescent="0.25">
      <c r="B339" s="2"/>
    </row>
  </sheetData>
  <mergeCells count="20">
    <mergeCell ref="A221:B221"/>
    <mergeCell ref="A226:B226"/>
    <mergeCell ref="A289:B289"/>
    <mergeCell ref="J290:N290"/>
    <mergeCell ref="J291:N291"/>
    <mergeCell ref="A2:N2"/>
    <mergeCell ref="A3:N3"/>
    <mergeCell ref="N6:O6"/>
    <mergeCell ref="A7:A8"/>
    <mergeCell ref="B7:B8"/>
    <mergeCell ref="C7:C8"/>
    <mergeCell ref="D7:D8"/>
    <mergeCell ref="E7:E8"/>
    <mergeCell ref="F7:G7"/>
    <mergeCell ref="H7:N7"/>
    <mergeCell ref="A306:C306"/>
    <mergeCell ref="B307:C307"/>
    <mergeCell ref="A312:B312"/>
    <mergeCell ref="B314:C314"/>
    <mergeCell ref="A318:B318"/>
  </mergeCells>
  <pageMargins left="0.25" right="0.25" top="0.75" bottom="0.75" header="0.3" footer="0.3"/>
  <pageSetup paperSize="5" scale="86" orientation="landscape" horizontalDpi="4294967293" verticalDpi="0" r:id="rId1"/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D24DC-E5BA-4349-BF91-221E3B430E92}">
  <dimension ref="A2:N26"/>
  <sheetViews>
    <sheetView workbookViewId="0">
      <selection activeCell="D6" sqref="D6"/>
    </sheetView>
  </sheetViews>
  <sheetFormatPr defaultRowHeight="15" x14ac:dyDescent="0.25"/>
  <cols>
    <col min="1" max="1" width="9.140625" customWidth="1"/>
    <col min="2" max="2" width="26.140625" customWidth="1"/>
    <col min="3" max="3" width="4.28515625" customWidth="1"/>
    <col min="4" max="4" width="18.85546875" customWidth="1"/>
    <col min="5" max="5" width="12.85546875" customWidth="1"/>
    <col min="6" max="6" width="17.140625" customWidth="1"/>
    <col min="7" max="7" width="12.140625" customWidth="1"/>
    <col min="8" max="8" width="14.28515625" customWidth="1"/>
    <col min="9" max="9" width="11.140625" customWidth="1"/>
    <col min="10" max="10" width="6" customWidth="1"/>
    <col min="11" max="11" width="11.85546875" customWidth="1"/>
    <col min="12" max="12" width="10.7109375" bestFit="1" customWidth="1"/>
    <col min="13" max="13" width="3.5703125" customWidth="1"/>
    <col min="14" max="14" width="6" customWidth="1"/>
  </cols>
  <sheetData>
    <row r="2" spans="1:14" x14ac:dyDescent="0.25">
      <c r="A2" s="1131" t="s">
        <v>2</v>
      </c>
      <c r="B2" s="1133" t="s">
        <v>3</v>
      </c>
      <c r="C2" s="1135" t="s">
        <v>2</v>
      </c>
      <c r="D2" s="1137" t="s">
        <v>4</v>
      </c>
      <c r="E2" s="1133" t="s">
        <v>5</v>
      </c>
      <c r="F2" s="1139" t="s">
        <v>6</v>
      </c>
      <c r="G2" s="1140"/>
      <c r="H2" s="1139" t="s">
        <v>7</v>
      </c>
      <c r="I2" s="1141"/>
      <c r="J2" s="1141"/>
      <c r="K2" s="1141"/>
      <c r="L2" s="1141"/>
      <c r="M2" s="1141"/>
      <c r="N2" s="1140"/>
    </row>
    <row r="3" spans="1:14" ht="15.75" thickBot="1" x14ac:dyDescent="0.3">
      <c r="A3" s="1132"/>
      <c r="B3" s="1134"/>
      <c r="C3" s="1136"/>
      <c r="D3" s="1138"/>
      <c r="E3" s="1134"/>
      <c r="F3" s="9" t="s">
        <v>8</v>
      </c>
      <c r="G3" s="10" t="s">
        <v>9</v>
      </c>
      <c r="H3" s="11" t="s">
        <v>10</v>
      </c>
      <c r="I3" s="12" t="s">
        <v>11</v>
      </c>
      <c r="J3" s="12" t="s">
        <v>12</v>
      </c>
      <c r="K3" s="185" t="s">
        <v>13</v>
      </c>
      <c r="L3" s="12" t="s">
        <v>14</v>
      </c>
      <c r="M3" s="12" t="s">
        <v>15</v>
      </c>
      <c r="N3" s="12" t="s">
        <v>16</v>
      </c>
    </row>
    <row r="4" spans="1:14" ht="15.75" thickBot="1" x14ac:dyDescent="0.3">
      <c r="B4" s="213" t="s">
        <v>533</v>
      </c>
      <c r="C4" s="1068">
        <v>121</v>
      </c>
      <c r="D4" s="712" t="s">
        <v>311</v>
      </c>
      <c r="E4" s="125" t="s">
        <v>312</v>
      </c>
      <c r="F4" s="126" t="s">
        <v>313</v>
      </c>
      <c r="G4" s="718">
        <v>45495</v>
      </c>
      <c r="H4" s="91" t="s">
        <v>309</v>
      </c>
      <c r="I4" s="92" t="s">
        <v>198</v>
      </c>
      <c r="J4" s="92" t="s">
        <v>25</v>
      </c>
      <c r="K4" s="184">
        <v>983718</v>
      </c>
      <c r="L4" s="208" t="s">
        <v>456</v>
      </c>
      <c r="M4" s="92">
        <v>24</v>
      </c>
      <c r="N4" s="92">
        <v>24</v>
      </c>
    </row>
    <row r="5" spans="1:14" ht="15.75" thickBot="1" x14ac:dyDescent="0.3">
      <c r="B5" s="153" t="s">
        <v>514</v>
      </c>
      <c r="C5" s="1068">
        <v>122</v>
      </c>
      <c r="D5" s="712" t="s">
        <v>314</v>
      </c>
      <c r="E5" s="125" t="s">
        <v>315</v>
      </c>
      <c r="F5" s="217" t="s">
        <v>316</v>
      </c>
      <c r="G5" s="715" t="s">
        <v>317</v>
      </c>
      <c r="H5" s="91" t="s">
        <v>23</v>
      </c>
      <c r="I5" s="92" t="s">
        <v>231</v>
      </c>
      <c r="J5" s="92" t="s">
        <v>176</v>
      </c>
      <c r="K5" s="92">
        <v>919670</v>
      </c>
      <c r="L5" s="208">
        <v>46913</v>
      </c>
      <c r="M5" s="92"/>
      <c r="N5" s="92">
        <v>5</v>
      </c>
    </row>
    <row r="6" spans="1:14" ht="26.25" thickBot="1" x14ac:dyDescent="0.3">
      <c r="B6" s="153"/>
      <c r="C6" s="1068">
        <v>123</v>
      </c>
      <c r="D6" s="877" t="s">
        <v>490</v>
      </c>
      <c r="E6" s="263">
        <v>9067266239</v>
      </c>
      <c r="F6" s="803" t="s">
        <v>563</v>
      </c>
      <c r="G6" s="758">
        <v>45891</v>
      </c>
      <c r="H6" s="91" t="s">
        <v>23</v>
      </c>
      <c r="I6" s="92" t="s">
        <v>231</v>
      </c>
      <c r="J6" s="92" t="s">
        <v>176</v>
      </c>
      <c r="K6" s="92">
        <v>5570977</v>
      </c>
      <c r="L6" s="208">
        <v>46913</v>
      </c>
      <c r="M6" s="92"/>
      <c r="N6" s="92">
        <v>5</v>
      </c>
    </row>
    <row r="7" spans="1:14" ht="15.75" thickBot="1" x14ac:dyDescent="0.3">
      <c r="B7" s="153"/>
      <c r="C7" s="1068">
        <v>124</v>
      </c>
      <c r="D7" s="877" t="s">
        <v>491</v>
      </c>
      <c r="E7" s="125">
        <v>9815260310</v>
      </c>
      <c r="F7" s="127" t="s">
        <v>521</v>
      </c>
      <c r="G7" s="715" t="s">
        <v>456</v>
      </c>
      <c r="H7" s="58"/>
      <c r="I7" s="58"/>
      <c r="J7" s="58"/>
      <c r="K7" s="58"/>
      <c r="L7" s="145"/>
      <c r="M7" s="58"/>
      <c r="N7" s="58"/>
    </row>
    <row r="8" spans="1:14" ht="15.75" thickBot="1" x14ac:dyDescent="0.3">
      <c r="B8" s="66"/>
      <c r="C8" s="1068">
        <v>125</v>
      </c>
      <c r="D8" s="847" t="s">
        <v>59</v>
      </c>
      <c r="E8" s="125" t="s">
        <v>60</v>
      </c>
      <c r="F8" s="808">
        <v>19949867</v>
      </c>
      <c r="G8" s="717">
        <v>45618</v>
      </c>
      <c r="H8" s="58"/>
      <c r="I8" s="58"/>
      <c r="J8" s="58"/>
      <c r="K8" s="58"/>
      <c r="L8" s="145"/>
      <c r="M8" s="58"/>
      <c r="N8" s="58"/>
    </row>
    <row r="9" spans="1:14" ht="15.75" thickBot="1" x14ac:dyDescent="0.3">
      <c r="B9" s="213" t="s">
        <v>530</v>
      </c>
      <c r="C9" s="1068">
        <v>126</v>
      </c>
      <c r="D9" s="710" t="s">
        <v>690</v>
      </c>
      <c r="E9" s="149">
        <v>9513832879</v>
      </c>
      <c r="F9" s="149" t="s">
        <v>37</v>
      </c>
      <c r="G9" s="718"/>
      <c r="H9" s="92" t="s">
        <v>23</v>
      </c>
      <c r="I9" s="92" t="s">
        <v>231</v>
      </c>
      <c r="J9" s="92" t="s">
        <v>176</v>
      </c>
      <c r="K9" s="92">
        <v>973500</v>
      </c>
      <c r="L9" s="208">
        <v>47020</v>
      </c>
      <c r="M9" s="92"/>
      <c r="N9" s="92">
        <v>5</v>
      </c>
    </row>
    <row r="10" spans="1:14" ht="15.75" thickBot="1" x14ac:dyDescent="0.3">
      <c r="B10" s="153" t="s">
        <v>514</v>
      </c>
      <c r="C10" s="1068">
        <v>127</v>
      </c>
      <c r="D10" s="710" t="s">
        <v>485</v>
      </c>
      <c r="E10" s="125">
        <v>9158404185</v>
      </c>
      <c r="F10" s="780" t="s">
        <v>487</v>
      </c>
      <c r="G10" s="718">
        <v>45508</v>
      </c>
      <c r="H10" s="92" t="s">
        <v>23</v>
      </c>
      <c r="I10" s="92" t="s">
        <v>231</v>
      </c>
      <c r="J10" s="92" t="s">
        <v>176</v>
      </c>
      <c r="K10" s="92">
        <v>1444924</v>
      </c>
      <c r="L10" s="99">
        <v>45971</v>
      </c>
      <c r="M10" s="92"/>
      <c r="N10" s="92">
        <v>5</v>
      </c>
    </row>
    <row r="11" spans="1:14" ht="15.75" thickBot="1" x14ac:dyDescent="0.3">
      <c r="B11" s="65"/>
      <c r="C11" s="1068">
        <v>128</v>
      </c>
      <c r="D11" s="878" t="s">
        <v>691</v>
      </c>
      <c r="E11" s="225">
        <v>9856332178</v>
      </c>
      <c r="F11" s="126" t="s">
        <v>502</v>
      </c>
      <c r="G11" s="715">
        <v>45983</v>
      </c>
      <c r="H11" s="92"/>
      <c r="I11" s="92"/>
      <c r="J11" s="92"/>
      <c r="K11" s="92"/>
      <c r="L11" s="208"/>
      <c r="M11" s="92"/>
      <c r="N11" s="92"/>
    </row>
    <row r="12" spans="1:14" ht="15.75" thickBot="1" x14ac:dyDescent="0.3">
      <c r="B12" s="66"/>
      <c r="C12" s="1068">
        <v>129</v>
      </c>
      <c r="D12" s="573" t="s">
        <v>343</v>
      </c>
      <c r="E12" s="149" t="s">
        <v>344</v>
      </c>
      <c r="F12" s="1094" t="s">
        <v>433</v>
      </c>
      <c r="G12" s="718">
        <v>45602</v>
      </c>
      <c r="H12" s="92"/>
      <c r="I12" s="92"/>
      <c r="J12" s="92"/>
      <c r="K12" s="92"/>
      <c r="L12" s="208"/>
      <c r="M12" s="92"/>
      <c r="N12" s="92"/>
    </row>
    <row r="13" spans="1:14" ht="15.75" thickBot="1" x14ac:dyDescent="0.3">
      <c r="B13" s="66"/>
      <c r="C13" s="919"/>
      <c r="D13" s="964"/>
      <c r="E13" s="1023"/>
      <c r="F13" s="1024"/>
      <c r="G13" s="1025"/>
      <c r="H13" s="58"/>
      <c r="I13" s="58"/>
      <c r="J13" s="58"/>
      <c r="K13" s="58"/>
      <c r="L13" s="145"/>
      <c r="M13" s="58"/>
      <c r="N13" s="58"/>
    </row>
    <row r="14" spans="1:14" ht="26.25" thickBot="1" x14ac:dyDescent="0.3">
      <c r="B14" s="213" t="s">
        <v>531</v>
      </c>
      <c r="C14" s="1067">
        <v>132</v>
      </c>
      <c r="D14" s="710" t="s">
        <v>322</v>
      </c>
      <c r="E14" s="149" t="s">
        <v>323</v>
      </c>
      <c r="F14" s="809" t="s">
        <v>324</v>
      </c>
      <c r="G14" s="718">
        <v>45312</v>
      </c>
      <c r="H14" s="92" t="s">
        <v>309</v>
      </c>
      <c r="I14" s="92" t="s">
        <v>198</v>
      </c>
      <c r="J14" s="92" t="s">
        <v>25</v>
      </c>
      <c r="K14" s="92">
        <v>1059939</v>
      </c>
      <c r="L14" s="208">
        <v>46906</v>
      </c>
      <c r="M14" s="92"/>
      <c r="N14" s="92">
        <v>33</v>
      </c>
    </row>
    <row r="15" spans="1:14" ht="15.75" thickBot="1" x14ac:dyDescent="0.3">
      <c r="B15" s="65" t="s">
        <v>514</v>
      </c>
      <c r="C15" s="1068">
        <v>133</v>
      </c>
      <c r="D15" s="879" t="s">
        <v>318</v>
      </c>
      <c r="E15" s="220">
        <v>9458525235</v>
      </c>
      <c r="F15" s="775"/>
      <c r="G15" s="759"/>
      <c r="H15" s="92" t="s">
        <v>309</v>
      </c>
      <c r="I15" s="92" t="s">
        <v>198</v>
      </c>
      <c r="J15" s="92" t="s">
        <v>25</v>
      </c>
      <c r="K15" s="13">
        <v>1067254</v>
      </c>
      <c r="L15" s="208">
        <v>48723</v>
      </c>
      <c r="M15" s="92">
        <v>10</v>
      </c>
      <c r="N15" s="92">
        <v>10</v>
      </c>
    </row>
    <row r="16" spans="1:14" ht="15.75" thickBot="1" x14ac:dyDescent="0.3">
      <c r="B16" s="66"/>
      <c r="C16" s="1068">
        <v>134</v>
      </c>
      <c r="D16" s="710" t="s">
        <v>333</v>
      </c>
      <c r="E16" s="149">
        <v>9638758556</v>
      </c>
      <c r="F16" s="809" t="s">
        <v>560</v>
      </c>
      <c r="G16" s="718">
        <v>46041</v>
      </c>
      <c r="H16" s="92" t="s">
        <v>309</v>
      </c>
      <c r="I16" s="92" t="s">
        <v>198</v>
      </c>
      <c r="J16" s="92" t="s">
        <v>25</v>
      </c>
      <c r="K16" s="69">
        <v>919682</v>
      </c>
      <c r="L16" s="208">
        <v>48723</v>
      </c>
      <c r="M16" s="92">
        <v>10</v>
      </c>
      <c r="N16" s="92">
        <v>10</v>
      </c>
    </row>
    <row r="17" spans="2:14" ht="15.75" thickBot="1" x14ac:dyDescent="0.3">
      <c r="B17" s="66"/>
      <c r="C17" s="1068">
        <v>135</v>
      </c>
      <c r="D17" s="882" t="s">
        <v>330</v>
      </c>
      <c r="E17" s="220" t="s">
        <v>331</v>
      </c>
      <c r="F17" s="220" t="s">
        <v>564</v>
      </c>
      <c r="G17" s="756">
        <v>45849</v>
      </c>
      <c r="H17" s="144" t="s">
        <v>102</v>
      </c>
      <c r="I17" s="144" t="s">
        <v>198</v>
      </c>
      <c r="J17" s="144">
        <v>0.38</v>
      </c>
      <c r="K17" s="210">
        <v>31612</v>
      </c>
      <c r="L17" s="209">
        <v>46906</v>
      </c>
      <c r="M17" s="144">
        <v>5</v>
      </c>
      <c r="N17" s="144">
        <v>5</v>
      </c>
    </row>
    <row r="18" spans="2:14" ht="15.75" thickBot="1" x14ac:dyDescent="0.3">
      <c r="B18" s="1059" t="s">
        <v>801</v>
      </c>
      <c r="C18" s="1068">
        <v>136</v>
      </c>
      <c r="D18" s="1037" t="s">
        <v>335</v>
      </c>
      <c r="E18" s="422">
        <v>9067288059</v>
      </c>
      <c r="F18" s="778" t="s">
        <v>440</v>
      </c>
      <c r="G18" s="716">
        <v>45137</v>
      </c>
      <c r="H18" s="614" t="s">
        <v>309</v>
      </c>
      <c r="I18" s="614" t="s">
        <v>198</v>
      </c>
      <c r="J18" s="614" t="s">
        <v>25</v>
      </c>
      <c r="K18" s="925" t="s">
        <v>812</v>
      </c>
      <c r="L18" s="615">
        <v>47720</v>
      </c>
      <c r="M18" s="614">
        <v>10</v>
      </c>
      <c r="N18" s="614">
        <v>10</v>
      </c>
    </row>
    <row r="19" spans="2:14" ht="15.75" thickBot="1" x14ac:dyDescent="0.3">
      <c r="B19" s="574" t="s">
        <v>514</v>
      </c>
      <c r="C19" s="1068">
        <v>137</v>
      </c>
      <c r="D19" s="1060" t="s">
        <v>334</v>
      </c>
      <c r="E19" s="567">
        <v>9650847838</v>
      </c>
      <c r="F19" s="783" t="s">
        <v>324</v>
      </c>
      <c r="G19" s="948">
        <v>45312</v>
      </c>
      <c r="H19" s="584"/>
      <c r="I19" s="584"/>
      <c r="J19" s="584"/>
      <c r="K19" s="584"/>
      <c r="L19" s="585"/>
      <c r="M19" s="584"/>
      <c r="N19" s="584"/>
    </row>
    <row r="20" spans="2:14" ht="15.75" thickBot="1" x14ac:dyDescent="0.3"/>
    <row r="21" spans="2:14" ht="15.75" thickBot="1" x14ac:dyDescent="0.3">
      <c r="B21" s="1057" t="s">
        <v>532</v>
      </c>
      <c r="C21" s="1068">
        <v>140</v>
      </c>
      <c r="D21" s="1037" t="s">
        <v>328</v>
      </c>
      <c r="E21" s="299" t="s">
        <v>329</v>
      </c>
      <c r="F21" s="716"/>
      <c r="G21" s="716"/>
      <c r="H21" s="1029" t="s">
        <v>102</v>
      </c>
      <c r="I21" s="562" t="s">
        <v>231</v>
      </c>
      <c r="J21" s="1030"/>
      <c r="K21" s="621">
        <v>31597</v>
      </c>
      <c r="L21" s="306">
        <v>46906</v>
      </c>
      <c r="M21" s="601">
        <v>5</v>
      </c>
      <c r="N21" s="925">
        <v>5</v>
      </c>
    </row>
    <row r="22" spans="2:14" ht="15.75" thickBot="1" x14ac:dyDescent="0.3">
      <c r="B22" s="1058" t="s">
        <v>514</v>
      </c>
      <c r="C22" s="1068">
        <v>141</v>
      </c>
      <c r="D22" s="963" t="s">
        <v>547</v>
      </c>
      <c r="E22" s="127">
        <v>9679066332</v>
      </c>
      <c r="F22" s="936" t="s">
        <v>632</v>
      </c>
      <c r="G22" s="937">
        <v>47127</v>
      </c>
      <c r="H22" s="92" t="s">
        <v>102</v>
      </c>
      <c r="I22" s="92" t="s">
        <v>231</v>
      </c>
      <c r="J22" s="92"/>
      <c r="K22" s="99">
        <v>883198</v>
      </c>
      <c r="L22" s="208">
        <v>47345</v>
      </c>
      <c r="M22" s="92">
        <v>5</v>
      </c>
      <c r="N22" s="92">
        <v>5</v>
      </c>
    </row>
    <row r="23" spans="2:14" ht="15.75" thickBot="1" x14ac:dyDescent="0.3">
      <c r="B23" s="573"/>
      <c r="C23" s="1068">
        <v>142</v>
      </c>
      <c r="D23" s="880" t="s">
        <v>615</v>
      </c>
      <c r="E23" s="226">
        <v>9563652158</v>
      </c>
      <c r="F23" s="126" t="s">
        <v>575</v>
      </c>
      <c r="G23" s="715">
        <v>45460</v>
      </c>
      <c r="H23" s="92" t="s">
        <v>23</v>
      </c>
      <c r="I23" s="92" t="s">
        <v>231</v>
      </c>
      <c r="J23" s="92"/>
      <c r="K23" s="92">
        <v>1054371</v>
      </c>
      <c r="L23" s="208">
        <v>46906</v>
      </c>
      <c r="M23" s="92">
        <v>5</v>
      </c>
      <c r="N23" s="92">
        <v>5</v>
      </c>
    </row>
    <row r="24" spans="2:14" ht="15.75" thickBot="1" x14ac:dyDescent="0.3">
      <c r="B24" s="349"/>
      <c r="C24" s="1068">
        <v>143</v>
      </c>
      <c r="D24" s="1032" t="s">
        <v>614</v>
      </c>
      <c r="E24" s="1033">
        <v>9483505762</v>
      </c>
      <c r="F24" s="771" t="s">
        <v>37</v>
      </c>
      <c r="G24" s="771"/>
      <c r="H24" s="584"/>
      <c r="I24" s="584"/>
      <c r="J24" s="584"/>
      <c r="K24" s="584"/>
      <c r="L24" s="585"/>
      <c r="M24" s="584"/>
      <c r="N24" s="584"/>
    </row>
    <row r="25" spans="2:14" ht="15.75" thickBot="1" x14ac:dyDescent="0.3">
      <c r="B25" s="213" t="s">
        <v>636</v>
      </c>
      <c r="C25" s="1068">
        <v>145</v>
      </c>
      <c r="D25" s="882" t="s">
        <v>692</v>
      </c>
      <c r="E25" s="220">
        <v>9556496640</v>
      </c>
      <c r="F25" s="756" t="s">
        <v>697</v>
      </c>
      <c r="G25" s="756">
        <v>45555</v>
      </c>
      <c r="H25" s="144" t="s">
        <v>200</v>
      </c>
      <c r="I25" s="144" t="s">
        <v>198</v>
      </c>
      <c r="J25" s="144" t="s">
        <v>103</v>
      </c>
      <c r="K25" s="210">
        <v>30122</v>
      </c>
      <c r="L25" s="209">
        <v>46906</v>
      </c>
      <c r="M25" s="144">
        <v>5</v>
      </c>
      <c r="N25" s="144">
        <v>5</v>
      </c>
    </row>
    <row r="26" spans="2:14" x14ac:dyDescent="0.25">
      <c r="B26" s="69" t="s">
        <v>514</v>
      </c>
      <c r="C26" s="40"/>
      <c r="D26" s="879"/>
      <c r="E26" s="221"/>
      <c r="F26" s="760"/>
      <c r="G26" s="760"/>
      <c r="H26" s="147"/>
      <c r="I26" s="147"/>
      <c r="J26" s="147"/>
      <c r="K26" s="147"/>
      <c r="L26" s="1100"/>
      <c r="M26" s="147"/>
      <c r="N26" s="1101"/>
    </row>
  </sheetData>
  <mergeCells count="7">
    <mergeCell ref="H2:N2"/>
    <mergeCell ref="A2:A3"/>
    <mergeCell ref="B2:B3"/>
    <mergeCell ref="C2:C3"/>
    <mergeCell ref="D2:D3"/>
    <mergeCell ref="E2:E3"/>
    <mergeCell ref="F2:G2"/>
  </mergeCells>
  <pageMargins left="0.7" right="0.7" top="0.75" bottom="0.75" header="0.3" footer="0.3"/>
  <pageSetup paperSize="5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ADDA-730C-4FBB-83E6-7DF18274C386}">
  <dimension ref="B4:V255"/>
  <sheetViews>
    <sheetView topLeftCell="D245" zoomScaleNormal="100" workbookViewId="0">
      <selection activeCell="F254" sqref="F254:V255"/>
    </sheetView>
  </sheetViews>
  <sheetFormatPr defaultRowHeight="15" x14ac:dyDescent="0.25"/>
  <cols>
    <col min="2" max="2" width="5.28515625" customWidth="1"/>
    <col min="3" max="3" width="27" customWidth="1"/>
    <col min="4" max="4" width="4.28515625" customWidth="1"/>
    <col min="5" max="5" width="11.85546875" customWidth="1"/>
    <col min="6" max="7" width="21" customWidth="1"/>
    <col min="8" max="8" width="15.28515625" customWidth="1"/>
    <col min="9" max="9" width="11.42578125" customWidth="1"/>
    <col min="10" max="10" width="12.140625" customWidth="1"/>
    <col min="11" max="11" width="14.28515625" customWidth="1"/>
    <col min="12" max="12" width="11.140625" customWidth="1"/>
    <col min="13" max="13" width="6" customWidth="1"/>
    <col min="14" max="14" width="11.85546875" customWidth="1"/>
    <col min="15" max="15" width="10.7109375" bestFit="1" customWidth="1"/>
    <col min="16" max="16" width="3.5703125" customWidth="1"/>
    <col min="17" max="17" width="6" customWidth="1"/>
    <col min="18" max="18" width="0" hidden="1" customWidth="1"/>
    <col min="19" max="19" width="9.7109375" bestFit="1" customWidth="1"/>
  </cols>
  <sheetData>
    <row r="4" spans="2:16" ht="15.75" thickBot="1" x14ac:dyDescent="0.3"/>
    <row r="5" spans="2:16" ht="15.75" thickBot="1" x14ac:dyDescent="0.3">
      <c r="C5" s="386" t="s">
        <v>797</v>
      </c>
    </row>
    <row r="7" spans="2:16" ht="15.75" thickBot="1" x14ac:dyDescent="0.3"/>
    <row r="8" spans="2:16" x14ac:dyDescent="0.25">
      <c r="B8" s="1151" t="s">
        <v>2</v>
      </c>
      <c r="C8" s="1153" t="s">
        <v>3</v>
      </c>
      <c r="D8" s="1135" t="s">
        <v>2</v>
      </c>
      <c r="E8" s="1133" t="s">
        <v>4</v>
      </c>
      <c r="F8" s="1133" t="s">
        <v>5</v>
      </c>
      <c r="G8" s="1139" t="s">
        <v>6</v>
      </c>
      <c r="H8" s="1140"/>
      <c r="I8" s="377"/>
      <c r="J8" s="1148" t="s">
        <v>7</v>
      </c>
      <c r="K8" s="1149"/>
      <c r="L8" s="1149"/>
      <c r="M8" s="1149"/>
      <c r="N8" s="1149"/>
      <c r="O8" s="1149"/>
      <c r="P8" s="1150"/>
    </row>
    <row r="9" spans="2:16" ht="15.75" thickBot="1" x14ac:dyDescent="0.3">
      <c r="B9" s="1152"/>
      <c r="C9" s="1154"/>
      <c r="D9" s="1136"/>
      <c r="E9" s="1134"/>
      <c r="F9" s="1134"/>
      <c r="G9" s="9" t="s">
        <v>8</v>
      </c>
      <c r="H9" s="10" t="s">
        <v>9</v>
      </c>
      <c r="I9" s="377" t="s">
        <v>816</v>
      </c>
      <c r="J9" s="684" t="s">
        <v>10</v>
      </c>
      <c r="K9" s="12" t="s">
        <v>11</v>
      </c>
      <c r="L9" s="12" t="s">
        <v>12</v>
      </c>
      <c r="M9" s="185" t="s">
        <v>13</v>
      </c>
      <c r="N9" s="12" t="s">
        <v>14</v>
      </c>
      <c r="O9" s="12" t="s">
        <v>15</v>
      </c>
      <c r="P9" s="685" t="s">
        <v>16</v>
      </c>
    </row>
    <row r="10" spans="2:16" x14ac:dyDescent="0.25">
      <c r="B10" s="6"/>
      <c r="C10" s="293" t="s">
        <v>131</v>
      </c>
      <c r="D10" s="297"/>
      <c r="E10" s="298" t="s">
        <v>657</v>
      </c>
      <c r="F10" s="299" t="s">
        <v>296</v>
      </c>
      <c r="G10" s="300" t="s">
        <v>658</v>
      </c>
      <c r="H10" s="301">
        <v>47149</v>
      </c>
      <c r="I10" s="302" t="s">
        <v>799</v>
      </c>
      <c r="J10" s="336" t="s">
        <v>72</v>
      </c>
      <c r="K10" s="303" t="s">
        <v>19</v>
      </c>
      <c r="L10" s="304" t="s">
        <v>61</v>
      </c>
      <c r="M10" s="305">
        <v>1428734</v>
      </c>
      <c r="N10" s="306">
        <v>45971</v>
      </c>
      <c r="O10" s="307">
        <v>10</v>
      </c>
      <c r="P10" s="308">
        <v>10</v>
      </c>
    </row>
    <row r="11" spans="2:16" ht="15" customHeight="1" x14ac:dyDescent="0.25">
      <c r="B11" s="6"/>
      <c r="C11" s="294" t="s">
        <v>132</v>
      </c>
      <c r="D11" s="309"/>
      <c r="E11" s="35" t="s">
        <v>133</v>
      </c>
      <c r="F11" s="125" t="s">
        <v>134</v>
      </c>
      <c r="G11" s="310" t="s">
        <v>431</v>
      </c>
      <c r="H11" s="93">
        <v>45565</v>
      </c>
      <c r="I11" t="s">
        <v>799</v>
      </c>
      <c r="J11" s="686" t="s">
        <v>26</v>
      </c>
      <c r="K11" s="60" t="s">
        <v>43</v>
      </c>
      <c r="L11" s="60" t="s">
        <v>25</v>
      </c>
      <c r="M11" s="81" t="s">
        <v>804</v>
      </c>
      <c r="N11" s="95">
        <v>48624</v>
      </c>
      <c r="O11" s="25">
        <v>10</v>
      </c>
      <c r="P11" s="311">
        <v>10</v>
      </c>
    </row>
    <row r="12" spans="2:16" ht="25.5" x14ac:dyDescent="0.25">
      <c r="B12" s="6"/>
      <c r="C12" s="295" t="s">
        <v>135</v>
      </c>
      <c r="D12" s="312"/>
      <c r="E12" s="82" t="s">
        <v>136</v>
      </c>
      <c r="F12" s="265">
        <v>9165345083</v>
      </c>
      <c r="G12" s="170" t="s">
        <v>137</v>
      </c>
      <c r="H12" s="71">
        <v>45748</v>
      </c>
      <c r="I12" s="167" t="s">
        <v>798</v>
      </c>
      <c r="J12" s="340" t="s">
        <v>18</v>
      </c>
      <c r="K12" s="60" t="s">
        <v>43</v>
      </c>
      <c r="L12" s="60" t="s">
        <v>20</v>
      </c>
      <c r="M12" s="81" t="s">
        <v>805</v>
      </c>
      <c r="N12" s="95">
        <v>46776</v>
      </c>
      <c r="O12" s="25" t="s">
        <v>806</v>
      </c>
      <c r="P12" s="311" t="s">
        <v>57</v>
      </c>
    </row>
    <row r="13" spans="2:16" ht="26.25" customHeight="1" thickBot="1" x14ac:dyDescent="0.3">
      <c r="B13" s="6"/>
      <c r="C13" s="296" t="s">
        <v>760</v>
      </c>
      <c r="D13" s="312"/>
      <c r="E13" s="169" t="s">
        <v>501</v>
      </c>
      <c r="F13" s="679">
        <v>9914525393</v>
      </c>
      <c r="G13" s="829" t="s">
        <v>586</v>
      </c>
      <c r="H13" s="680">
        <v>45524</v>
      </c>
      <c r="I13" s="167" t="s">
        <v>798</v>
      </c>
      <c r="J13" s="687" t="s">
        <v>807</v>
      </c>
      <c r="K13" s="60" t="s">
        <v>808</v>
      </c>
      <c r="L13" s="60" t="s">
        <v>20</v>
      </c>
      <c r="M13" s="61" t="s">
        <v>809</v>
      </c>
      <c r="N13" s="95">
        <v>46776</v>
      </c>
      <c r="O13" s="25" t="s">
        <v>810</v>
      </c>
      <c r="P13" s="311" t="s">
        <v>57</v>
      </c>
    </row>
    <row r="14" spans="2:16" x14ac:dyDescent="0.25">
      <c r="B14" s="6"/>
      <c r="C14" s="27"/>
      <c r="D14" s="309"/>
      <c r="E14" s="15" t="s">
        <v>674</v>
      </c>
      <c r="F14" s="149"/>
      <c r="G14" s="97" t="s">
        <v>684</v>
      </c>
      <c r="H14" s="93">
        <v>45919</v>
      </c>
      <c r="I14" t="s">
        <v>799</v>
      </c>
      <c r="J14" s="688" t="s">
        <v>27</v>
      </c>
      <c r="K14" s="60"/>
      <c r="L14" s="60"/>
      <c r="M14" s="20"/>
      <c r="N14" s="39"/>
      <c r="O14" s="18">
        <v>1</v>
      </c>
      <c r="P14" s="311">
        <v>1</v>
      </c>
    </row>
    <row r="15" spans="2:16" ht="15.75" thickBot="1" x14ac:dyDescent="0.3">
      <c r="B15" s="6"/>
      <c r="C15" s="27"/>
      <c r="D15" s="313"/>
      <c r="E15" s="314" t="s">
        <v>140</v>
      </c>
      <c r="F15" s="315" t="s">
        <v>141</v>
      </c>
      <c r="G15" s="316">
        <v>19870413</v>
      </c>
      <c r="H15" s="317">
        <v>45389</v>
      </c>
      <c r="I15" s="318" t="s">
        <v>799</v>
      </c>
      <c r="J15" s="341" t="s">
        <v>811</v>
      </c>
      <c r="K15" s="319"/>
      <c r="L15" s="319" t="s">
        <v>296</v>
      </c>
      <c r="M15" s="320"/>
      <c r="N15" s="321"/>
      <c r="O15" s="322">
        <v>2</v>
      </c>
      <c r="P15" s="323">
        <v>2</v>
      </c>
    </row>
    <row r="16" spans="2:16" x14ac:dyDescent="0.25">
      <c r="B16" s="6"/>
      <c r="C16" s="27"/>
      <c r="D16" s="6"/>
      <c r="E16" s="28"/>
      <c r="F16" s="123"/>
      <c r="G16" s="37"/>
      <c r="H16" s="29"/>
      <c r="J16" s="63"/>
      <c r="K16" s="63"/>
      <c r="L16" s="63"/>
      <c r="M16" s="46"/>
      <c r="N16" s="8"/>
      <c r="O16" s="37"/>
      <c r="P16" s="46"/>
    </row>
    <row r="17" spans="2:16" ht="15.75" thickBot="1" x14ac:dyDescent="0.3">
      <c r="B17" s="6"/>
      <c r="C17" s="27"/>
      <c r="D17" s="6"/>
      <c r="E17" s="28"/>
      <c r="F17" s="123"/>
      <c r="G17" s="37"/>
      <c r="H17" s="29"/>
      <c r="J17" s="63"/>
      <c r="K17" s="63"/>
      <c r="L17" s="63"/>
      <c r="M17" s="46"/>
      <c r="N17" s="8"/>
      <c r="O17" s="37"/>
      <c r="P17" s="46"/>
    </row>
    <row r="18" spans="2:16" x14ac:dyDescent="0.25">
      <c r="B18" s="6"/>
      <c r="C18" s="344" t="s">
        <v>142</v>
      </c>
      <c r="D18" s="324"/>
      <c r="E18" s="325" t="s">
        <v>78</v>
      </c>
      <c r="F18" s="326" t="s">
        <v>79</v>
      </c>
      <c r="G18" s="327" t="s">
        <v>681</v>
      </c>
      <c r="H18" s="328">
        <v>46972</v>
      </c>
      <c r="I18" s="329" t="s">
        <v>800</v>
      </c>
      <c r="J18" s="336" t="s">
        <v>39</v>
      </c>
      <c r="K18" s="303" t="s">
        <v>19</v>
      </c>
      <c r="L18" s="303" t="s">
        <v>40</v>
      </c>
      <c r="M18" s="337">
        <v>30297</v>
      </c>
      <c r="N18" s="300">
        <v>46906</v>
      </c>
      <c r="O18" s="338">
        <v>6</v>
      </c>
      <c r="P18" s="308">
        <v>5</v>
      </c>
    </row>
    <row r="19" spans="2:16" ht="15.75" thickBot="1" x14ac:dyDescent="0.3">
      <c r="B19" s="6"/>
      <c r="C19" s="292" t="s">
        <v>738</v>
      </c>
      <c r="D19" s="330"/>
      <c r="E19" s="287" t="s">
        <v>146</v>
      </c>
      <c r="F19" s="288" t="s">
        <v>147</v>
      </c>
      <c r="G19" s="289" t="s">
        <v>686</v>
      </c>
      <c r="H19" s="290">
        <v>47036</v>
      </c>
      <c r="I19" s="331" t="s">
        <v>800</v>
      </c>
      <c r="J19" s="339" t="s">
        <v>26</v>
      </c>
      <c r="K19" s="60" t="s">
        <v>43</v>
      </c>
      <c r="L19" s="60" t="s">
        <v>25</v>
      </c>
      <c r="M19" s="61" t="s">
        <v>812</v>
      </c>
      <c r="N19" s="39">
        <v>45695</v>
      </c>
      <c r="O19" s="18">
        <v>6</v>
      </c>
      <c r="P19" s="311">
        <v>6</v>
      </c>
    </row>
    <row r="20" spans="2:16" x14ac:dyDescent="0.25">
      <c r="B20" s="6"/>
      <c r="C20" s="27"/>
      <c r="D20" s="309"/>
      <c r="E20" s="89" t="s">
        <v>493</v>
      </c>
      <c r="F20" s="125" t="s">
        <v>148</v>
      </c>
      <c r="G20" s="22" t="s">
        <v>434</v>
      </c>
      <c r="H20" s="93" t="s">
        <v>435</v>
      </c>
      <c r="I20" s="332" t="s">
        <v>799</v>
      </c>
      <c r="J20" s="340" t="s">
        <v>102</v>
      </c>
      <c r="K20" s="60" t="s">
        <v>19</v>
      </c>
      <c r="L20" s="60" t="s">
        <v>201</v>
      </c>
      <c r="M20" s="20" t="s">
        <v>442</v>
      </c>
      <c r="N20" s="39">
        <v>46906</v>
      </c>
      <c r="O20" s="18">
        <v>5</v>
      </c>
      <c r="P20" s="311">
        <v>5</v>
      </c>
    </row>
    <row r="21" spans="2:16" x14ac:dyDescent="0.25">
      <c r="B21" s="6"/>
      <c r="C21" s="27"/>
      <c r="D21" s="309"/>
      <c r="E21" s="89" t="s">
        <v>149</v>
      </c>
      <c r="F21" s="125" t="s">
        <v>150</v>
      </c>
      <c r="G21" s="22" t="s">
        <v>682</v>
      </c>
      <c r="H21" s="21">
        <v>47197</v>
      </c>
      <c r="I21" s="332" t="s">
        <v>799</v>
      </c>
      <c r="J21" s="340" t="s">
        <v>102</v>
      </c>
      <c r="K21" s="60" t="s">
        <v>19</v>
      </c>
      <c r="L21" s="60" t="s">
        <v>201</v>
      </c>
      <c r="M21" s="20">
        <v>875552</v>
      </c>
      <c r="N21" s="95">
        <v>46906</v>
      </c>
      <c r="O21" s="18">
        <v>5</v>
      </c>
      <c r="P21" s="311">
        <v>5</v>
      </c>
    </row>
    <row r="22" spans="2:16" ht="15.75" thickBot="1" x14ac:dyDescent="0.3">
      <c r="B22" s="6"/>
      <c r="C22" s="27"/>
      <c r="D22" s="313"/>
      <c r="E22" s="320" t="s">
        <v>151</v>
      </c>
      <c r="F22" s="315" t="s">
        <v>152</v>
      </c>
      <c r="G22" s="333" t="s">
        <v>683</v>
      </c>
      <c r="H22" s="334">
        <v>47032</v>
      </c>
      <c r="I22" s="335" t="s">
        <v>799</v>
      </c>
      <c r="J22" s="340" t="s">
        <v>813</v>
      </c>
      <c r="K22" s="60"/>
      <c r="L22" s="60"/>
      <c r="M22" s="20"/>
      <c r="N22" s="95"/>
      <c r="O22" s="25">
        <v>2</v>
      </c>
      <c r="P22" s="311"/>
    </row>
    <row r="23" spans="2:16" x14ac:dyDescent="0.25">
      <c r="B23" s="6"/>
      <c r="C23" s="27"/>
      <c r="D23" s="6"/>
      <c r="E23" s="46"/>
      <c r="F23" s="123"/>
      <c r="G23" s="36"/>
      <c r="H23" s="155"/>
      <c r="J23" s="340" t="s">
        <v>27</v>
      </c>
      <c r="K23" s="60"/>
      <c r="L23" s="60"/>
      <c r="M23" s="20"/>
      <c r="N23" s="39"/>
      <c r="O23" s="18">
        <v>1</v>
      </c>
      <c r="P23" s="311">
        <v>1</v>
      </c>
    </row>
    <row r="24" spans="2:16" ht="15.75" thickBot="1" x14ac:dyDescent="0.3">
      <c r="B24" s="6"/>
      <c r="C24" s="27"/>
      <c r="D24" s="6"/>
      <c r="E24" s="46"/>
      <c r="F24" s="123"/>
      <c r="G24" s="36"/>
      <c r="H24" s="155"/>
      <c r="J24" s="341" t="s">
        <v>814</v>
      </c>
      <c r="K24" s="319" t="s">
        <v>296</v>
      </c>
      <c r="L24" s="319"/>
      <c r="M24" s="320"/>
      <c r="N24" s="342"/>
      <c r="O24" s="343">
        <v>1</v>
      </c>
      <c r="P24" s="323">
        <v>1</v>
      </c>
    </row>
    <row r="25" spans="2:16" ht="15.75" thickBot="1" x14ac:dyDescent="0.3">
      <c r="B25" s="6"/>
      <c r="C25" s="27"/>
      <c r="D25" s="6"/>
      <c r="E25" s="46"/>
      <c r="F25" s="123"/>
      <c r="G25" s="36"/>
      <c r="H25" s="155"/>
      <c r="J25" s="669"/>
      <c r="K25" s="670"/>
      <c r="L25" s="670"/>
      <c r="M25" s="559"/>
      <c r="N25" s="419"/>
      <c r="O25" s="420"/>
      <c r="P25" s="671"/>
    </row>
    <row r="26" spans="2:16" x14ac:dyDescent="0.25">
      <c r="B26" s="6"/>
      <c r="C26" s="347" t="s">
        <v>153</v>
      </c>
      <c r="D26" s="297"/>
      <c r="E26" s="337" t="s">
        <v>675</v>
      </c>
      <c r="F26" s="299">
        <v>9667193380</v>
      </c>
      <c r="G26" s="351" t="s">
        <v>689</v>
      </c>
      <c r="H26" s="301">
        <v>46126</v>
      </c>
      <c r="I26" s="380" t="s">
        <v>799</v>
      </c>
      <c r="J26" s="303" t="s">
        <v>18</v>
      </c>
      <c r="K26" s="303" t="s">
        <v>19</v>
      </c>
      <c r="L26" s="303" t="s">
        <v>20</v>
      </c>
      <c r="M26" s="337">
        <v>1073114</v>
      </c>
      <c r="N26" s="306">
        <v>46975</v>
      </c>
      <c r="O26" s="307">
        <v>13</v>
      </c>
      <c r="P26" s="308" t="s">
        <v>815</v>
      </c>
    </row>
    <row r="27" spans="2:16" x14ac:dyDescent="0.25">
      <c r="B27" s="6"/>
      <c r="C27" s="348" t="s">
        <v>739</v>
      </c>
      <c r="D27" s="309"/>
      <c r="E27" s="111" t="s">
        <v>489</v>
      </c>
      <c r="F27" s="217">
        <v>9364251912</v>
      </c>
      <c r="G27" s="100" t="s">
        <v>500</v>
      </c>
      <c r="H27" s="183">
        <v>45889</v>
      </c>
      <c r="I27" s="165" t="s">
        <v>799</v>
      </c>
      <c r="J27" s="164" t="s">
        <v>26</v>
      </c>
      <c r="K27" s="114" t="s">
        <v>19</v>
      </c>
      <c r="L27" s="114" t="s">
        <v>25</v>
      </c>
      <c r="M27" s="13">
        <v>983603</v>
      </c>
      <c r="N27" s="95">
        <v>45559</v>
      </c>
      <c r="O27" s="116">
        <v>10</v>
      </c>
      <c r="P27" s="352">
        <v>6</v>
      </c>
    </row>
    <row r="28" spans="2:16" ht="15.75" thickBot="1" x14ac:dyDescent="0.3">
      <c r="B28" s="6"/>
      <c r="C28" s="349" t="s">
        <v>761</v>
      </c>
      <c r="D28" s="353"/>
      <c r="E28" s="266" t="s">
        <v>266</v>
      </c>
      <c r="F28" s="267" t="s">
        <v>267</v>
      </c>
      <c r="G28" s="266" t="s">
        <v>268</v>
      </c>
      <c r="H28" s="268">
        <v>45630</v>
      </c>
      <c r="I28" s="379" t="s">
        <v>798</v>
      </c>
      <c r="J28" s="60" t="s">
        <v>18</v>
      </c>
      <c r="K28" s="60" t="s">
        <v>19</v>
      </c>
      <c r="L28" s="60" t="s">
        <v>20</v>
      </c>
      <c r="M28" s="20">
        <v>1545011</v>
      </c>
      <c r="N28" s="291">
        <v>46081</v>
      </c>
      <c r="O28" s="25">
        <v>13</v>
      </c>
      <c r="P28" s="311" t="s">
        <v>815</v>
      </c>
    </row>
    <row r="29" spans="2:16" ht="15.75" thickBot="1" x14ac:dyDescent="0.3">
      <c r="B29" s="6"/>
      <c r="C29" s="27"/>
      <c r="D29" s="313"/>
      <c r="E29" s="354" t="s">
        <v>474</v>
      </c>
      <c r="F29" s="355"/>
      <c r="G29" s="356" t="s">
        <v>472</v>
      </c>
      <c r="H29" s="357">
        <v>45502</v>
      </c>
      <c r="I29" s="381" t="s">
        <v>799</v>
      </c>
      <c r="J29" s="319" t="s">
        <v>813</v>
      </c>
      <c r="K29" s="319"/>
      <c r="L29" s="319"/>
      <c r="M29" s="358" t="s">
        <v>503</v>
      </c>
      <c r="N29" s="321"/>
      <c r="O29" s="322">
        <v>4</v>
      </c>
      <c r="P29" s="323">
        <v>4</v>
      </c>
    </row>
    <row r="32" spans="2:16" ht="15.75" thickBot="1" x14ac:dyDescent="0.3"/>
    <row r="33" spans="2:18" ht="15.75" thickBot="1" x14ac:dyDescent="0.3">
      <c r="B33" s="6"/>
      <c r="C33" s="382" t="s">
        <v>475</v>
      </c>
      <c r="D33" s="674"/>
      <c r="E33" s="675" t="s">
        <v>388</v>
      </c>
      <c r="F33" s="676" t="s">
        <v>389</v>
      </c>
      <c r="G33" s="677" t="s">
        <v>430</v>
      </c>
      <c r="H33" s="678">
        <v>45776</v>
      </c>
      <c r="I33" s="379" t="s">
        <v>798</v>
      </c>
      <c r="J33" s="58"/>
      <c r="K33" s="58"/>
      <c r="L33" s="58"/>
      <c r="M33" s="145"/>
      <c r="N33" s="58"/>
      <c r="O33" s="58"/>
    </row>
    <row r="34" spans="2:18" x14ac:dyDescent="0.25">
      <c r="C34" s="79"/>
      <c r="D34" s="6"/>
      <c r="E34" s="28"/>
      <c r="F34" s="123"/>
      <c r="G34" s="286"/>
      <c r="H34" s="29"/>
      <c r="I34" s="58"/>
      <c r="J34" s="58"/>
      <c r="K34" s="58"/>
      <c r="L34" s="58"/>
      <c r="M34" s="199"/>
      <c r="N34" s="58"/>
      <c r="O34" s="58"/>
    </row>
    <row r="35" spans="2:18" x14ac:dyDescent="0.25">
      <c r="C35" s="79"/>
      <c r="D35" s="6"/>
      <c r="E35" s="28"/>
      <c r="F35" s="123"/>
      <c r="G35" s="286"/>
      <c r="H35" s="29"/>
      <c r="I35" s="58"/>
      <c r="J35" s="58"/>
      <c r="K35" s="58"/>
      <c r="L35" s="58"/>
      <c r="M35" s="199"/>
      <c r="N35" s="58"/>
      <c r="O35" s="58"/>
    </row>
    <row r="36" spans="2:18" ht="15.75" thickBot="1" x14ac:dyDescent="0.3">
      <c r="C36" s="79"/>
      <c r="D36" s="6"/>
      <c r="E36" s="28"/>
      <c r="F36" s="123"/>
      <c r="G36" s="286"/>
      <c r="H36" s="29"/>
      <c r="I36" s="58"/>
      <c r="J36" s="58"/>
      <c r="K36" s="58"/>
      <c r="L36" s="58"/>
      <c r="M36" s="199"/>
      <c r="N36" s="58"/>
      <c r="O36" s="58"/>
    </row>
    <row r="37" spans="2:18" x14ac:dyDescent="0.25">
      <c r="C37" s="384" t="s">
        <v>803</v>
      </c>
      <c r="D37" s="6"/>
      <c r="E37" s="28"/>
      <c r="F37" s="123"/>
      <c r="G37" s="286"/>
      <c r="H37" s="29"/>
    </row>
    <row r="38" spans="2:18" ht="15.75" thickBot="1" x14ac:dyDescent="0.3">
      <c r="C38" s="385"/>
      <c r="Q38" s="282"/>
      <c r="R38" s="283"/>
    </row>
    <row r="39" spans="2:18" ht="15.75" thickBot="1" x14ac:dyDescent="0.3">
      <c r="C39" s="360" t="s">
        <v>619</v>
      </c>
      <c r="D39" s="361"/>
      <c r="E39" s="362" t="s">
        <v>547</v>
      </c>
      <c r="F39" s="363"/>
      <c r="G39" s="364" t="s">
        <v>632</v>
      </c>
      <c r="H39" s="365">
        <v>47127</v>
      </c>
      <c r="I39" s="387" t="s">
        <v>798</v>
      </c>
      <c r="J39" s="366"/>
      <c r="K39" s="366"/>
      <c r="L39" s="366"/>
      <c r="M39" s="366"/>
      <c r="N39" s="367"/>
      <c r="O39" s="366"/>
      <c r="P39" s="368"/>
    </row>
    <row r="40" spans="2:18" ht="15.75" thickBot="1" x14ac:dyDescent="0.3">
      <c r="C40" s="66"/>
      <c r="D40" s="369"/>
      <c r="E40" s="370" t="s">
        <v>441</v>
      </c>
      <c r="F40" s="371">
        <v>9677534991</v>
      </c>
      <c r="G40" s="372" t="s">
        <v>601</v>
      </c>
      <c r="H40" s="378">
        <v>46955</v>
      </c>
      <c r="I40" s="373" t="s">
        <v>798</v>
      </c>
      <c r="J40" s="374" t="s">
        <v>39</v>
      </c>
      <c r="K40" s="374" t="s">
        <v>19</v>
      </c>
      <c r="L40" s="374" t="s">
        <v>201</v>
      </c>
      <c r="M40" s="374">
        <v>1353450</v>
      </c>
      <c r="N40" s="375">
        <v>47020</v>
      </c>
      <c r="O40" s="374">
        <v>5</v>
      </c>
      <c r="P40" s="376">
        <v>5</v>
      </c>
    </row>
    <row r="41" spans="2:18" ht="15.75" thickBot="1" x14ac:dyDescent="0.3"/>
    <row r="42" spans="2:18" ht="25.5" x14ac:dyDescent="0.25">
      <c r="D42" s="391">
        <v>35</v>
      </c>
      <c r="E42" s="347" t="s">
        <v>592</v>
      </c>
      <c r="F42" s="405">
        <v>100</v>
      </c>
      <c r="G42" s="853" t="s">
        <v>217</v>
      </c>
      <c r="H42" s="299" t="s">
        <v>218</v>
      </c>
      <c r="I42" s="778" t="s">
        <v>773</v>
      </c>
      <c r="J42" s="723">
        <v>47072</v>
      </c>
      <c r="K42" s="366"/>
      <c r="L42" s="366"/>
      <c r="M42" s="366"/>
      <c r="N42" s="366"/>
      <c r="O42" s="367"/>
      <c r="P42" s="366"/>
      <c r="Q42" s="368"/>
      <c r="R42" s="145"/>
    </row>
    <row r="43" spans="2:18" ht="15.75" thickBot="1" x14ac:dyDescent="0.3">
      <c r="D43" s="101"/>
      <c r="E43" s="612"/>
      <c r="F43" s="412">
        <v>101</v>
      </c>
      <c r="G43" s="849" t="s">
        <v>221</v>
      </c>
      <c r="H43" s="315" t="s">
        <v>222</v>
      </c>
      <c r="I43" s="745" t="s">
        <v>772</v>
      </c>
      <c r="J43" s="737">
        <v>46923</v>
      </c>
      <c r="K43" s="374" t="s">
        <v>39</v>
      </c>
      <c r="L43" s="374" t="s">
        <v>19</v>
      </c>
      <c r="M43" s="374" t="s">
        <v>201</v>
      </c>
      <c r="N43" s="374">
        <v>931115</v>
      </c>
      <c r="O43" s="375">
        <v>48723</v>
      </c>
      <c r="P43" s="374">
        <v>5</v>
      </c>
      <c r="Q43" s="376">
        <v>5</v>
      </c>
      <c r="R43" s="145"/>
    </row>
    <row r="44" spans="2:18" ht="15.75" thickBot="1" x14ac:dyDescent="0.3">
      <c r="D44" s="101"/>
      <c r="E44" s="79"/>
      <c r="F44" s="6"/>
      <c r="G44" s="846"/>
      <c r="H44" s="123"/>
      <c r="I44" s="742"/>
      <c r="J44" s="734"/>
      <c r="K44" s="58"/>
      <c r="L44" s="58"/>
      <c r="M44" s="58"/>
      <c r="N44" s="58"/>
      <c r="O44" s="199"/>
      <c r="P44" s="58"/>
      <c r="Q44" s="58"/>
      <c r="R44" s="145"/>
    </row>
    <row r="45" spans="2:18" ht="38.25" x14ac:dyDescent="0.25">
      <c r="D45" s="391">
        <v>36</v>
      </c>
      <c r="E45" s="347" t="s">
        <v>534</v>
      </c>
      <c r="F45" s="405">
        <v>102</v>
      </c>
      <c r="G45" s="864" t="s">
        <v>526</v>
      </c>
      <c r="H45" s="613">
        <v>9959779456</v>
      </c>
      <c r="I45" s="795" t="s">
        <v>539</v>
      </c>
      <c r="J45" s="716">
        <v>45405</v>
      </c>
      <c r="K45" s="614" t="s">
        <v>23</v>
      </c>
      <c r="L45" s="614" t="s">
        <v>604</v>
      </c>
      <c r="M45" s="614" t="s">
        <v>25</v>
      </c>
      <c r="N45" s="614">
        <v>919661</v>
      </c>
      <c r="O45" s="615">
        <v>48723</v>
      </c>
      <c r="P45" s="614">
        <v>5</v>
      </c>
      <c r="Q45" s="616">
        <v>5</v>
      </c>
      <c r="R45" s="145"/>
    </row>
    <row r="46" spans="2:18" ht="15.75" thickBot="1" x14ac:dyDescent="0.3">
      <c r="D46" s="101"/>
      <c r="E46" s="349"/>
      <c r="F46" s="412">
        <v>103</v>
      </c>
      <c r="G46" s="851" t="s">
        <v>685</v>
      </c>
      <c r="H46" s="315">
        <v>9753541668</v>
      </c>
      <c r="I46" s="745"/>
      <c r="J46" s="747"/>
      <c r="K46" s="617"/>
      <c r="L46" s="617"/>
      <c r="M46" s="617"/>
      <c r="N46" s="617"/>
      <c r="O46" s="618"/>
      <c r="P46" s="617"/>
      <c r="Q46" s="619"/>
      <c r="R46" s="145"/>
    </row>
    <row r="47" spans="2:18" ht="15.75" thickBot="1" x14ac:dyDescent="0.3"/>
    <row r="48" spans="2:18" ht="26.25" thickBot="1" x14ac:dyDescent="0.3">
      <c r="D48" s="518">
        <v>61</v>
      </c>
      <c r="E48" s="65" t="s">
        <v>346</v>
      </c>
      <c r="F48" s="405">
        <v>189</v>
      </c>
      <c r="G48" s="710" t="s">
        <v>455</v>
      </c>
      <c r="H48" s="224" t="s">
        <v>342</v>
      </c>
      <c r="I48" s="762">
        <v>45671</v>
      </c>
      <c r="J48" s="224">
        <v>45563</v>
      </c>
      <c r="K48" s="177"/>
      <c r="L48" s="177"/>
      <c r="M48" s="177"/>
      <c r="N48" s="33" t="s">
        <v>345</v>
      </c>
      <c r="O48" s="99"/>
      <c r="P48" s="92"/>
      <c r="Q48" s="92"/>
    </row>
    <row r="49" spans="4:19" ht="38.25" x14ac:dyDescent="0.25">
      <c r="D49" s="518">
        <v>63</v>
      </c>
      <c r="E49" s="153" t="s">
        <v>504</v>
      </c>
      <c r="F49" s="405">
        <v>191</v>
      </c>
      <c r="G49" s="881" t="s">
        <v>602</v>
      </c>
      <c r="H49" s="227">
        <v>9361263219</v>
      </c>
      <c r="I49" s="760" t="s">
        <v>381</v>
      </c>
      <c r="J49" s="756">
        <v>45458</v>
      </c>
      <c r="K49" s="214"/>
      <c r="L49" s="214"/>
      <c r="M49" s="214"/>
      <c r="N49" s="182" t="s">
        <v>345</v>
      </c>
      <c r="O49" s="145"/>
      <c r="P49" s="58"/>
      <c r="Q49" s="58"/>
    </row>
    <row r="51" spans="4:19" ht="15.75" thickBot="1" x14ac:dyDescent="0.3"/>
    <row r="52" spans="4:19" x14ac:dyDescent="0.25">
      <c r="D52" s="518">
        <v>55</v>
      </c>
      <c r="E52" s="347" t="s">
        <v>618</v>
      </c>
      <c r="F52" s="1017"/>
      <c r="G52" s="1018" t="s">
        <v>320</v>
      </c>
      <c r="H52" s="299" t="s">
        <v>321</v>
      </c>
      <c r="I52" s="555" t="s">
        <v>550</v>
      </c>
      <c r="J52" s="1019">
        <v>45330</v>
      </c>
      <c r="K52" s="1013"/>
    </row>
    <row r="53" spans="4:19" x14ac:dyDescent="0.25">
      <c r="D53" s="101"/>
      <c r="E53" s="610" t="s">
        <v>319</v>
      </c>
      <c r="G53" s="664" t="s">
        <v>486</v>
      </c>
      <c r="H53" s="125"/>
      <c r="I53" s="126" t="s">
        <v>549</v>
      </c>
      <c r="J53" s="1020">
        <v>46060</v>
      </c>
      <c r="K53" s="332"/>
    </row>
    <row r="54" spans="4:19" ht="15.75" thickBot="1" x14ac:dyDescent="0.3">
      <c r="E54" s="1014"/>
      <c r="F54" s="318"/>
      <c r="G54" s="1021" t="s">
        <v>505</v>
      </c>
      <c r="H54" s="1015"/>
      <c r="I54" s="1016" t="s">
        <v>37</v>
      </c>
      <c r="J54" s="1022"/>
      <c r="K54" s="335"/>
    </row>
    <row r="55" spans="4:19" ht="38.25" x14ac:dyDescent="0.25">
      <c r="D55" s="518">
        <v>60</v>
      </c>
      <c r="E55" s="171" t="s">
        <v>622</v>
      </c>
      <c r="F55" s="405">
        <v>188</v>
      </c>
      <c r="G55" s="710" t="s">
        <v>546</v>
      </c>
      <c r="H55" s="225"/>
      <c r="I55" s="126"/>
    </row>
    <row r="57" spans="4:19" x14ac:dyDescent="0.25">
      <c r="G57" s="868" t="s">
        <v>492</v>
      </c>
      <c r="H57" s="125">
        <v>9369811171</v>
      </c>
      <c r="I57" s="780" t="s">
        <v>779</v>
      </c>
      <c r="J57" s="740">
        <v>47150</v>
      </c>
    </row>
    <row r="58" spans="4:19" x14ac:dyDescent="0.25">
      <c r="G58" s="847" t="s">
        <v>509</v>
      </c>
      <c r="H58" s="125">
        <v>9121278551</v>
      </c>
      <c r="I58" s="126" t="s">
        <v>511</v>
      </c>
      <c r="J58" s="717">
        <v>45982</v>
      </c>
    </row>
    <row r="60" spans="4:19" ht="15.75" thickBot="1" x14ac:dyDescent="0.3"/>
    <row r="61" spans="4:19" ht="26.25" thickBot="1" x14ac:dyDescent="0.3">
      <c r="E61" s="345" t="s">
        <v>232</v>
      </c>
      <c r="F61" s="992">
        <v>118</v>
      </c>
      <c r="G61" s="853" t="s">
        <v>233</v>
      </c>
      <c r="H61" s="299" t="s">
        <v>234</v>
      </c>
      <c r="I61" s="774" t="s">
        <v>235</v>
      </c>
      <c r="J61" s="714">
        <v>45367</v>
      </c>
      <c r="K61" s="303" t="s">
        <v>26</v>
      </c>
      <c r="L61" s="303" t="s">
        <v>443</v>
      </c>
      <c r="M61" s="304" t="s">
        <v>176</v>
      </c>
      <c r="N61" s="561">
        <v>811995</v>
      </c>
      <c r="O61" s="306" t="s">
        <v>568</v>
      </c>
      <c r="P61" s="307">
        <v>24</v>
      </c>
      <c r="Q61" s="607">
        <v>24</v>
      </c>
      <c r="R61" s="145"/>
      <c r="S61" s="1006" t="s">
        <v>890</v>
      </c>
    </row>
    <row r="62" spans="4:19" ht="26.25" thickBot="1" x14ac:dyDescent="0.3">
      <c r="E62" s="629" t="s">
        <v>135</v>
      </c>
      <c r="F62" s="992">
        <v>119</v>
      </c>
      <c r="G62" s="867" t="s">
        <v>518</v>
      </c>
      <c r="H62" s="125" t="s">
        <v>237</v>
      </c>
      <c r="I62" s="754" t="s">
        <v>296</v>
      </c>
      <c r="J62" s="739"/>
      <c r="K62" s="60" t="s">
        <v>18</v>
      </c>
      <c r="L62" s="60" t="s">
        <v>43</v>
      </c>
      <c r="M62" s="67" t="s">
        <v>20</v>
      </c>
      <c r="N62" s="106" t="s">
        <v>236</v>
      </c>
      <c r="O62" s="95">
        <v>48717</v>
      </c>
      <c r="P62" s="25">
        <v>21</v>
      </c>
      <c r="Q62" s="609" t="s">
        <v>449</v>
      </c>
      <c r="R62" s="145"/>
      <c r="S62" s="1006" t="s">
        <v>890</v>
      </c>
    </row>
    <row r="63" spans="4:19" ht="15.75" thickBot="1" x14ac:dyDescent="0.3">
      <c r="E63" s="630" t="s">
        <v>762</v>
      </c>
      <c r="F63" s="992">
        <v>120</v>
      </c>
      <c r="G63" s="867" t="s">
        <v>239</v>
      </c>
      <c r="H63" s="125" t="s">
        <v>240</v>
      </c>
      <c r="I63" s="800" t="s">
        <v>844</v>
      </c>
      <c r="J63" s="739">
        <v>47255</v>
      </c>
      <c r="K63" s="59" t="s">
        <v>26</v>
      </c>
      <c r="L63" s="60" t="s">
        <v>43</v>
      </c>
      <c r="M63" s="67" t="s">
        <v>25</v>
      </c>
      <c r="N63" s="19" t="s">
        <v>238</v>
      </c>
      <c r="O63" s="95">
        <v>45823</v>
      </c>
      <c r="P63" s="25">
        <v>24</v>
      </c>
      <c r="Q63" s="609">
        <v>24</v>
      </c>
      <c r="R63" s="145"/>
      <c r="S63" s="1006" t="s">
        <v>890</v>
      </c>
    </row>
    <row r="64" spans="4:19" ht="26.25" thickBot="1" x14ac:dyDescent="0.3">
      <c r="E64" s="79"/>
      <c r="F64" s="992">
        <v>121</v>
      </c>
      <c r="G64" s="867" t="s">
        <v>241</v>
      </c>
      <c r="H64" s="125" t="s">
        <v>242</v>
      </c>
      <c r="I64" s="754" t="s">
        <v>243</v>
      </c>
      <c r="J64" s="739">
        <v>45166</v>
      </c>
      <c r="K64" s="60" t="s">
        <v>18</v>
      </c>
      <c r="L64" s="60" t="s">
        <v>43</v>
      </c>
      <c r="M64" s="67" t="s">
        <v>20</v>
      </c>
      <c r="N64" s="106" t="s">
        <v>436</v>
      </c>
      <c r="O64" s="95">
        <v>48717</v>
      </c>
      <c r="P64" s="25">
        <v>21</v>
      </c>
      <c r="Q64" s="609" t="s">
        <v>449</v>
      </c>
      <c r="R64" s="145"/>
      <c r="S64" s="1006" t="s">
        <v>890</v>
      </c>
    </row>
    <row r="65" spans="5:19" ht="15.75" thickBot="1" x14ac:dyDescent="0.3">
      <c r="E65" s="66"/>
      <c r="F65" s="992">
        <v>122</v>
      </c>
      <c r="G65" s="847" t="s">
        <v>244</v>
      </c>
      <c r="H65" s="125" t="s">
        <v>245</v>
      </c>
      <c r="I65" s="715" t="s">
        <v>246</v>
      </c>
      <c r="J65" s="715">
        <v>45166</v>
      </c>
      <c r="K65" s="92" t="s">
        <v>114</v>
      </c>
      <c r="L65" s="92"/>
      <c r="M65" s="92"/>
      <c r="N65" s="92"/>
      <c r="O65" s="99"/>
      <c r="P65" s="92">
        <v>1</v>
      </c>
      <c r="Q65" s="583">
        <v>1</v>
      </c>
      <c r="R65" s="145"/>
      <c r="S65" s="1006"/>
    </row>
    <row r="66" spans="5:19" ht="15.75" thickBot="1" x14ac:dyDescent="0.3">
      <c r="E66" s="79"/>
      <c r="F66" s="992">
        <v>123</v>
      </c>
      <c r="G66" s="847" t="s">
        <v>248</v>
      </c>
      <c r="H66" s="125" t="s">
        <v>249</v>
      </c>
      <c r="I66" s="801" t="s">
        <v>454</v>
      </c>
      <c r="J66" s="718">
        <v>45795</v>
      </c>
      <c r="K66" s="70" t="s">
        <v>831</v>
      </c>
      <c r="L66" s="92"/>
      <c r="M66" s="92"/>
      <c r="N66" s="92"/>
      <c r="O66" s="99"/>
      <c r="P66" s="92">
        <v>1</v>
      </c>
      <c r="Q66" s="589">
        <v>1</v>
      </c>
      <c r="R66" s="145"/>
      <c r="S66" s="1006"/>
    </row>
    <row r="67" spans="5:19" ht="15.75" thickBot="1" x14ac:dyDescent="0.3">
      <c r="E67" s="79"/>
      <c r="F67" s="992">
        <v>124</v>
      </c>
      <c r="G67" s="851" t="s">
        <v>912</v>
      </c>
      <c r="H67" s="315"/>
      <c r="I67" s="786"/>
      <c r="J67" s="751"/>
      <c r="K67" s="631"/>
      <c r="L67" s="632"/>
      <c r="M67" s="633"/>
      <c r="N67" s="634"/>
      <c r="O67" s="635"/>
      <c r="P67" s="636"/>
      <c r="Q67" s="637"/>
      <c r="R67" s="145"/>
      <c r="S67" s="1000"/>
    </row>
    <row r="68" spans="5:19" ht="15.75" thickBot="1" x14ac:dyDescent="0.3">
      <c r="E68" s="79"/>
      <c r="F68" s="6"/>
      <c r="G68" s="846"/>
      <c r="H68" s="123"/>
      <c r="I68" s="768"/>
      <c r="J68" s="719"/>
      <c r="K68" s="63"/>
      <c r="L68" s="63"/>
      <c r="M68" s="68"/>
      <c r="N68" s="79"/>
      <c r="O68" s="112"/>
      <c r="P68" s="32"/>
      <c r="Q68" s="79"/>
      <c r="R68" s="145"/>
      <c r="S68" s="1000"/>
    </row>
    <row r="69" spans="5:19" ht="26.25" thickBot="1" x14ac:dyDescent="0.3">
      <c r="E69" s="347" t="s">
        <v>247</v>
      </c>
      <c r="F69" s="992">
        <v>125</v>
      </c>
      <c r="G69" s="857" t="s">
        <v>52</v>
      </c>
      <c r="H69" s="406" t="s">
        <v>53</v>
      </c>
      <c r="I69" s="1038" t="s">
        <v>863</v>
      </c>
      <c r="J69" s="1039">
        <v>47330</v>
      </c>
      <c r="K69" s="303" t="s">
        <v>18</v>
      </c>
      <c r="L69" s="303" t="s">
        <v>43</v>
      </c>
      <c r="M69" s="304" t="s">
        <v>20</v>
      </c>
      <c r="N69" s="305" t="s">
        <v>250</v>
      </c>
      <c r="O69" s="306">
        <v>48717</v>
      </c>
      <c r="P69" s="307">
        <v>22</v>
      </c>
      <c r="Q69" s="640" t="s">
        <v>447</v>
      </c>
      <c r="R69" s="145"/>
      <c r="S69" s="1006" t="s">
        <v>890</v>
      </c>
    </row>
    <row r="70" spans="5:19" ht="26.25" thickBot="1" x14ac:dyDescent="0.3">
      <c r="E70" s="641" t="s">
        <v>740</v>
      </c>
      <c r="F70" s="992">
        <v>126</v>
      </c>
      <c r="G70" s="106" t="s">
        <v>69</v>
      </c>
      <c r="H70" s="638" t="s">
        <v>70</v>
      </c>
      <c r="I70" s="782" t="s">
        <v>576</v>
      </c>
      <c r="J70" s="717">
        <v>46880</v>
      </c>
      <c r="K70" s="59" t="s">
        <v>26</v>
      </c>
      <c r="L70" s="60" t="s">
        <v>198</v>
      </c>
      <c r="M70" s="67" t="s">
        <v>25</v>
      </c>
      <c r="N70" s="61">
        <v>885394</v>
      </c>
      <c r="O70" s="208">
        <v>47345</v>
      </c>
      <c r="P70" s="25">
        <v>24</v>
      </c>
      <c r="Q70" s="609">
        <v>24</v>
      </c>
      <c r="R70" s="195"/>
      <c r="S70" s="1006" t="s">
        <v>890</v>
      </c>
    </row>
    <row r="71" spans="5:19" ht="26.25" thickBot="1" x14ac:dyDescent="0.3">
      <c r="E71" s="558" t="s">
        <v>763</v>
      </c>
      <c r="F71" s="992">
        <v>127</v>
      </c>
      <c r="G71" s="866" t="s">
        <v>585</v>
      </c>
      <c r="H71" s="125">
        <v>9357590856</v>
      </c>
      <c r="I71" s="929" t="s">
        <v>853</v>
      </c>
      <c r="J71" s="931">
        <v>47232</v>
      </c>
      <c r="K71" s="59" t="s">
        <v>26</v>
      </c>
      <c r="L71" s="114" t="s">
        <v>43</v>
      </c>
      <c r="M71" s="115" t="s">
        <v>25</v>
      </c>
      <c r="N71" s="99" t="s">
        <v>517</v>
      </c>
      <c r="O71" s="208">
        <v>45823</v>
      </c>
      <c r="P71" s="99">
        <v>24</v>
      </c>
      <c r="Q71" s="642">
        <v>24</v>
      </c>
      <c r="R71" s="145"/>
      <c r="S71" s="1006" t="s">
        <v>890</v>
      </c>
    </row>
    <row r="72" spans="5:19" ht="15.75" thickBot="1" x14ac:dyDescent="0.3">
      <c r="E72" s="641"/>
      <c r="F72" s="992">
        <v>128</v>
      </c>
      <c r="G72" s="850" t="s">
        <v>251</v>
      </c>
      <c r="H72" s="217" t="s">
        <v>252</v>
      </c>
      <c r="I72" s="929" t="s">
        <v>852</v>
      </c>
      <c r="J72" s="930">
        <v>47251</v>
      </c>
      <c r="K72" s="70" t="s">
        <v>831</v>
      </c>
      <c r="L72" s="92"/>
      <c r="M72" s="92"/>
      <c r="N72" s="92"/>
      <c r="O72" s="99"/>
      <c r="P72" s="92">
        <v>1</v>
      </c>
      <c r="Q72" s="583">
        <v>1</v>
      </c>
      <c r="R72" s="145"/>
      <c r="S72" s="1000"/>
    </row>
    <row r="73" spans="5:19" ht="15.75" thickBot="1" x14ac:dyDescent="0.3">
      <c r="E73" s="349"/>
      <c r="F73" s="412"/>
      <c r="G73" s="851"/>
      <c r="H73" s="481"/>
      <c r="I73" s="755"/>
      <c r="J73" s="753"/>
      <c r="K73" s="591" t="s">
        <v>114</v>
      </c>
      <c r="L73" s="374"/>
      <c r="M73" s="374"/>
      <c r="N73" s="374"/>
      <c r="O73" s="628"/>
      <c r="P73" s="374">
        <v>1</v>
      </c>
      <c r="Q73" s="376">
        <v>1</v>
      </c>
      <c r="R73" s="145"/>
      <c r="S73" s="1000"/>
    </row>
    <row r="74" spans="5:19" ht="15.75" thickBot="1" x14ac:dyDescent="0.3">
      <c r="E74" s="66"/>
      <c r="F74" s="6"/>
      <c r="G74" s="846"/>
      <c r="H74" s="123"/>
      <c r="I74" s="734"/>
      <c r="J74" s="742"/>
      <c r="K74" s="58"/>
      <c r="L74" s="58"/>
      <c r="M74" s="58"/>
      <c r="N74" s="58"/>
      <c r="O74" s="145"/>
      <c r="P74" s="58"/>
      <c r="Q74" s="58"/>
      <c r="R74" s="145"/>
      <c r="S74" s="1000"/>
    </row>
    <row r="75" spans="5:19" ht="26.25" thickBot="1" x14ac:dyDescent="0.3">
      <c r="E75" s="347" t="s">
        <v>253</v>
      </c>
      <c r="F75" s="992">
        <v>129</v>
      </c>
      <c r="G75" s="843" t="s">
        <v>254</v>
      </c>
      <c r="H75" s="299" t="s">
        <v>252</v>
      </c>
      <c r="I75" s="802" t="s">
        <v>37</v>
      </c>
      <c r="J75" s="716"/>
      <c r="K75" s="303" t="s">
        <v>23</v>
      </c>
      <c r="L75" s="303" t="s">
        <v>255</v>
      </c>
      <c r="M75" s="304" t="s">
        <v>176</v>
      </c>
      <c r="N75" s="305">
        <v>6567259</v>
      </c>
      <c r="O75" s="306">
        <v>47345</v>
      </c>
      <c r="P75" s="307">
        <v>24</v>
      </c>
      <c r="Q75" s="607">
        <v>24</v>
      </c>
      <c r="R75" s="145"/>
      <c r="S75" s="1006" t="s">
        <v>890</v>
      </c>
    </row>
    <row r="76" spans="5:19" ht="39" thickBot="1" x14ac:dyDescent="0.3">
      <c r="E76" s="641" t="s">
        <v>741</v>
      </c>
      <c r="F76" s="992">
        <v>130</v>
      </c>
      <c r="G76" s="867" t="s">
        <v>256</v>
      </c>
      <c r="H76" s="263" t="s">
        <v>257</v>
      </c>
      <c r="I76" s="718" t="s">
        <v>608</v>
      </c>
      <c r="J76" s="754">
        <v>47017</v>
      </c>
      <c r="K76" s="60" t="s">
        <v>23</v>
      </c>
      <c r="L76" s="70" t="s">
        <v>444</v>
      </c>
      <c r="M76" s="156" t="s">
        <v>176</v>
      </c>
      <c r="N76" s="106">
        <v>76061</v>
      </c>
      <c r="O76" s="95">
        <v>48717</v>
      </c>
      <c r="P76" s="25">
        <v>24</v>
      </c>
      <c r="Q76" s="609">
        <v>24</v>
      </c>
      <c r="R76" s="145"/>
      <c r="S76" s="1006" t="s">
        <v>890</v>
      </c>
    </row>
    <row r="77" spans="5:19" ht="39" thickBot="1" x14ac:dyDescent="0.3">
      <c r="E77" s="610" t="s">
        <v>125</v>
      </c>
      <c r="F77" s="992">
        <v>131</v>
      </c>
      <c r="G77" s="867" t="s">
        <v>613</v>
      </c>
      <c r="H77" s="125">
        <v>9531361949</v>
      </c>
      <c r="I77" s="763" t="s">
        <v>496</v>
      </c>
      <c r="J77" s="718">
        <v>45458</v>
      </c>
      <c r="K77" s="60" t="s">
        <v>72</v>
      </c>
      <c r="L77" s="60" t="s">
        <v>258</v>
      </c>
      <c r="M77" s="67" t="s">
        <v>61</v>
      </c>
      <c r="N77" s="81" t="s">
        <v>259</v>
      </c>
      <c r="O77" s="95">
        <v>48717</v>
      </c>
      <c r="P77" s="108" t="s">
        <v>260</v>
      </c>
      <c r="Q77" s="643" t="s">
        <v>450</v>
      </c>
      <c r="R77" s="145"/>
      <c r="S77" s="1006" t="s">
        <v>890</v>
      </c>
    </row>
    <row r="78" spans="5:19" ht="26.25" thickBot="1" x14ac:dyDescent="0.3">
      <c r="E78" s="644" t="s">
        <v>764</v>
      </c>
      <c r="F78" s="992">
        <v>132</v>
      </c>
      <c r="G78" s="867" t="s">
        <v>261</v>
      </c>
      <c r="H78" s="125" t="s">
        <v>262</v>
      </c>
      <c r="I78" s="761" t="s">
        <v>845</v>
      </c>
      <c r="J78" s="739">
        <v>47202</v>
      </c>
      <c r="K78" s="59" t="s">
        <v>27</v>
      </c>
      <c r="L78" s="60"/>
      <c r="M78" s="67"/>
      <c r="N78" s="61"/>
      <c r="O78" s="95"/>
      <c r="P78" s="25">
        <v>1</v>
      </c>
      <c r="Q78" s="609">
        <v>1</v>
      </c>
      <c r="R78" s="196"/>
      <c r="S78" s="1000"/>
    </row>
    <row r="79" spans="5:19" ht="15.75" thickBot="1" x14ac:dyDescent="0.3">
      <c r="E79" s="603"/>
      <c r="F79" s="992">
        <v>133</v>
      </c>
      <c r="G79" s="851" t="s">
        <v>263</v>
      </c>
      <c r="H79" s="315" t="s">
        <v>264</v>
      </c>
      <c r="I79" s="755" t="s">
        <v>609</v>
      </c>
      <c r="J79" s="749">
        <v>47017</v>
      </c>
      <c r="K79" s="659" t="s">
        <v>831</v>
      </c>
      <c r="L79" s="564"/>
      <c r="M79" s="564"/>
      <c r="N79" s="358"/>
      <c r="O79" s="342"/>
      <c r="P79" s="343">
        <v>1</v>
      </c>
      <c r="Q79" s="593">
        <v>1</v>
      </c>
      <c r="R79" s="196"/>
      <c r="S79" s="1000"/>
    </row>
    <row r="80" spans="5:19" ht="15.75" thickBot="1" x14ac:dyDescent="0.3">
      <c r="E80" s="79"/>
      <c r="F80" s="6"/>
      <c r="G80" s="846"/>
      <c r="H80" s="123"/>
      <c r="I80" s="734"/>
      <c r="J80" s="734"/>
      <c r="K80" s="639"/>
      <c r="L80" s="68"/>
      <c r="M80" s="68"/>
      <c r="N80" s="79"/>
      <c r="O80" s="112"/>
      <c r="P80" s="32"/>
      <c r="Q80" s="79"/>
      <c r="R80" s="145"/>
      <c r="S80" s="1000"/>
    </row>
    <row r="81" spans="5:19" ht="39" thickBot="1" x14ac:dyDescent="0.3">
      <c r="E81" s="347" t="s">
        <v>265</v>
      </c>
      <c r="F81" s="992">
        <v>134</v>
      </c>
      <c r="G81" s="875" t="s">
        <v>676</v>
      </c>
      <c r="H81" s="299">
        <v>9066938660</v>
      </c>
      <c r="I81" s="728" t="s">
        <v>677</v>
      </c>
      <c r="J81" s="723">
        <v>47182</v>
      </c>
      <c r="K81" s="337" t="s">
        <v>18</v>
      </c>
      <c r="L81" s="337" t="s">
        <v>43</v>
      </c>
      <c r="M81" s="305" t="s">
        <v>20</v>
      </c>
      <c r="N81" s="305" t="s">
        <v>269</v>
      </c>
      <c r="O81" s="306">
        <v>48717</v>
      </c>
      <c r="P81" s="645" t="s">
        <v>270</v>
      </c>
      <c r="Q81" s="646" t="s">
        <v>449</v>
      </c>
      <c r="R81" s="145"/>
      <c r="S81" s="1005" t="s">
        <v>890</v>
      </c>
    </row>
    <row r="82" spans="5:19" ht="26.25" thickBot="1" x14ac:dyDescent="0.3">
      <c r="E82" s="641" t="s">
        <v>271</v>
      </c>
      <c r="F82" s="992">
        <v>135</v>
      </c>
      <c r="G82" s="867" t="s">
        <v>274</v>
      </c>
      <c r="H82" s="125" t="s">
        <v>275</v>
      </c>
      <c r="I82" s="761" t="s">
        <v>276</v>
      </c>
      <c r="J82" s="739">
        <v>45630</v>
      </c>
      <c r="K82" s="59" t="s">
        <v>26</v>
      </c>
      <c r="L82" s="60" t="s">
        <v>24</v>
      </c>
      <c r="M82" s="67" t="s">
        <v>176</v>
      </c>
      <c r="N82" s="81">
        <v>6567287</v>
      </c>
      <c r="O82" s="95">
        <v>47345</v>
      </c>
      <c r="P82" s="108">
        <v>24</v>
      </c>
      <c r="Q82" s="647">
        <v>24</v>
      </c>
      <c r="R82" s="196"/>
      <c r="S82" s="1006" t="s">
        <v>890</v>
      </c>
    </row>
    <row r="83" spans="5:19" ht="15.75" thickBot="1" x14ac:dyDescent="0.3">
      <c r="E83" s="558" t="s">
        <v>742</v>
      </c>
      <c r="F83" s="992">
        <v>136</v>
      </c>
      <c r="G83" s="867" t="s">
        <v>277</v>
      </c>
      <c r="H83" s="125" t="s">
        <v>278</v>
      </c>
      <c r="I83" s="754" t="s">
        <v>279</v>
      </c>
      <c r="J83" s="739">
        <v>45630</v>
      </c>
      <c r="K83" s="59" t="s">
        <v>26</v>
      </c>
      <c r="L83" s="60" t="s">
        <v>24</v>
      </c>
      <c r="M83" s="67" t="s">
        <v>25</v>
      </c>
      <c r="N83" s="61" t="s">
        <v>791</v>
      </c>
      <c r="O83" s="95">
        <v>45792</v>
      </c>
      <c r="P83" s="108">
        <v>24</v>
      </c>
      <c r="Q83" s="647">
        <v>24</v>
      </c>
      <c r="R83" s="197"/>
      <c r="S83" s="1006" t="s">
        <v>890</v>
      </c>
    </row>
    <row r="84" spans="5:19" ht="15.75" thickBot="1" x14ac:dyDescent="0.3">
      <c r="E84" s="563"/>
      <c r="F84" s="992">
        <v>137</v>
      </c>
      <c r="G84" s="867" t="s">
        <v>280</v>
      </c>
      <c r="H84" s="125" t="s">
        <v>281</v>
      </c>
      <c r="I84" s="754" t="s">
        <v>282</v>
      </c>
      <c r="J84" s="739">
        <v>45156</v>
      </c>
      <c r="K84" s="92" t="s">
        <v>114</v>
      </c>
      <c r="L84" s="92"/>
      <c r="M84" s="92"/>
      <c r="N84" s="92"/>
      <c r="O84" s="99"/>
      <c r="P84" s="92">
        <v>1</v>
      </c>
      <c r="Q84" s="583">
        <v>1</v>
      </c>
      <c r="R84" s="145"/>
      <c r="S84" s="1000"/>
    </row>
    <row r="85" spans="5:19" ht="15.75" thickBot="1" x14ac:dyDescent="0.3">
      <c r="E85" s="612"/>
      <c r="F85" s="992">
        <v>138</v>
      </c>
      <c r="G85" s="851" t="s">
        <v>593</v>
      </c>
      <c r="H85" s="125"/>
      <c r="I85" s="786" t="s">
        <v>843</v>
      </c>
      <c r="J85" s="741">
        <v>46049</v>
      </c>
      <c r="K85" s="659" t="s">
        <v>831</v>
      </c>
      <c r="L85" s="374"/>
      <c r="M85" s="374"/>
      <c r="N85" s="374"/>
      <c r="O85" s="628"/>
      <c r="P85" s="374">
        <v>1</v>
      </c>
      <c r="Q85" s="376">
        <v>1</v>
      </c>
      <c r="R85" s="145"/>
      <c r="S85" s="1000"/>
    </row>
    <row r="86" spans="5:19" ht="15.75" thickBot="1" x14ac:dyDescent="0.3">
      <c r="E86" s="79"/>
      <c r="F86" s="6"/>
      <c r="G86" s="846"/>
      <c r="H86" s="123"/>
      <c r="I86" s="742"/>
      <c r="J86" s="742"/>
      <c r="K86" s="58"/>
      <c r="L86" s="58"/>
      <c r="M86" s="58"/>
      <c r="N86" s="58"/>
      <c r="O86" s="145"/>
      <c r="P86" s="58"/>
      <c r="Q86" s="58"/>
      <c r="R86" s="145"/>
      <c r="S86" s="1000"/>
    </row>
    <row r="87" spans="5:19" ht="39" thickBot="1" x14ac:dyDescent="0.3">
      <c r="E87" s="345" t="s">
        <v>283</v>
      </c>
      <c r="F87" s="992">
        <v>139</v>
      </c>
      <c r="G87" s="853" t="s">
        <v>284</v>
      </c>
      <c r="H87" s="125" t="s">
        <v>285</v>
      </c>
      <c r="I87" s="774" t="s">
        <v>656</v>
      </c>
      <c r="J87" s="714">
        <v>47148</v>
      </c>
      <c r="K87" s="561" t="s">
        <v>18</v>
      </c>
      <c r="L87" s="561" t="s">
        <v>43</v>
      </c>
      <c r="M87" s="648" t="s">
        <v>20</v>
      </c>
      <c r="N87" s="649" t="s">
        <v>437</v>
      </c>
      <c r="O87" s="588">
        <v>48717</v>
      </c>
      <c r="P87" s="650">
        <v>21</v>
      </c>
      <c r="Q87" s="646" t="s">
        <v>288</v>
      </c>
      <c r="R87" s="145"/>
      <c r="S87" s="1005" t="s">
        <v>890</v>
      </c>
    </row>
    <row r="88" spans="5:19" ht="39" thickBot="1" x14ac:dyDescent="0.3">
      <c r="E88" s="629" t="s">
        <v>743</v>
      </c>
      <c r="F88" s="992">
        <v>140</v>
      </c>
      <c r="G88" s="867" t="s">
        <v>286</v>
      </c>
      <c r="H88" s="125" t="s">
        <v>287</v>
      </c>
      <c r="I88" s="780" t="s">
        <v>849</v>
      </c>
      <c r="J88" s="739">
        <v>45880</v>
      </c>
      <c r="K88" s="70" t="s">
        <v>26</v>
      </c>
      <c r="L88" s="70" t="s">
        <v>231</v>
      </c>
      <c r="M88" s="156" t="s">
        <v>448</v>
      </c>
      <c r="N88" s="106">
        <v>1056089</v>
      </c>
      <c r="O88" s="94">
        <v>48717</v>
      </c>
      <c r="P88" s="108">
        <v>24</v>
      </c>
      <c r="Q88" s="647">
        <v>24</v>
      </c>
      <c r="R88" s="198"/>
      <c r="S88" s="1006" t="s">
        <v>898</v>
      </c>
    </row>
    <row r="89" spans="5:19" ht="26.25" thickBot="1" x14ac:dyDescent="0.3">
      <c r="E89" s="346" t="s">
        <v>765</v>
      </c>
      <c r="F89" s="992">
        <v>141</v>
      </c>
      <c r="G89" s="847" t="s">
        <v>293</v>
      </c>
      <c r="H89" s="125" t="s">
        <v>294</v>
      </c>
      <c r="I89" s="715" t="s">
        <v>655</v>
      </c>
      <c r="J89" s="718">
        <v>47149</v>
      </c>
      <c r="K89" s="59" t="s">
        <v>26</v>
      </c>
      <c r="L89" s="60" t="s">
        <v>24</v>
      </c>
      <c r="M89" s="59" t="s">
        <v>25</v>
      </c>
      <c r="N89" s="81">
        <v>6567298</v>
      </c>
      <c r="O89" s="95">
        <v>47345</v>
      </c>
      <c r="P89" s="108">
        <v>24</v>
      </c>
      <c r="Q89" s="647">
        <v>24</v>
      </c>
      <c r="R89" s="196"/>
      <c r="S89" s="1006" t="s">
        <v>890</v>
      </c>
    </row>
    <row r="90" spans="5:19" ht="15.75" thickBot="1" x14ac:dyDescent="0.3">
      <c r="E90" s="66"/>
      <c r="F90" s="992">
        <v>142</v>
      </c>
      <c r="G90" s="867" t="s">
        <v>291</v>
      </c>
      <c r="H90" s="125" t="s">
        <v>292</v>
      </c>
      <c r="I90" s="34" t="s">
        <v>864</v>
      </c>
      <c r="J90" s="952">
        <v>45768</v>
      </c>
      <c r="K90" s="92" t="s">
        <v>114</v>
      </c>
      <c r="L90" s="92"/>
      <c r="M90" s="92"/>
      <c r="N90" s="92"/>
      <c r="O90" s="99"/>
      <c r="P90" s="92">
        <v>1</v>
      </c>
      <c r="Q90" s="583">
        <v>1</v>
      </c>
      <c r="R90" s="145"/>
      <c r="S90" s="1000"/>
    </row>
    <row r="91" spans="5:19" ht="15.75" thickBot="1" x14ac:dyDescent="0.3">
      <c r="E91" s="79"/>
      <c r="F91" s="992">
        <v>143</v>
      </c>
      <c r="G91" s="851" t="s">
        <v>289</v>
      </c>
      <c r="H91" s="315" t="s">
        <v>290</v>
      </c>
      <c r="I91" s="786" t="s">
        <v>477</v>
      </c>
      <c r="J91" s="745">
        <v>45859</v>
      </c>
      <c r="K91" s="659" t="s">
        <v>831</v>
      </c>
      <c r="L91" s="374"/>
      <c r="M91" s="374"/>
      <c r="N91" s="374"/>
      <c r="O91" s="628"/>
      <c r="P91" s="374">
        <v>1</v>
      </c>
      <c r="Q91" s="376">
        <v>1</v>
      </c>
      <c r="R91" s="145"/>
      <c r="S91" s="1000"/>
    </row>
    <row r="92" spans="5:19" ht="15.75" thickBot="1" x14ac:dyDescent="0.3">
      <c r="E92" s="79"/>
      <c r="F92" s="6"/>
      <c r="G92" s="846"/>
      <c r="H92" s="123"/>
      <c r="I92" s="742"/>
      <c r="J92" s="742"/>
      <c r="K92" s="58"/>
      <c r="L92" s="58"/>
      <c r="M92" s="58"/>
      <c r="N92" s="58"/>
      <c r="O92" s="145"/>
      <c r="P92" s="58"/>
      <c r="Q92" s="58"/>
      <c r="R92" s="145"/>
      <c r="S92" s="1000"/>
    </row>
    <row r="93" spans="5:19" ht="39" thickBot="1" x14ac:dyDescent="0.3">
      <c r="E93" s="345" t="s">
        <v>463</v>
      </c>
      <c r="F93" s="992">
        <v>144</v>
      </c>
      <c r="G93" s="872" t="s">
        <v>464</v>
      </c>
      <c r="H93" s="299">
        <v>9452133335</v>
      </c>
      <c r="I93" s="716" t="s">
        <v>37</v>
      </c>
      <c r="J93" s="724"/>
      <c r="K93" s="304" t="s">
        <v>23</v>
      </c>
      <c r="L93" s="304" t="s">
        <v>231</v>
      </c>
      <c r="M93" s="304" t="s">
        <v>176</v>
      </c>
      <c r="N93" s="925" t="s">
        <v>527</v>
      </c>
      <c r="O93" s="652">
        <v>45823</v>
      </c>
      <c r="P93" s="653">
        <v>10</v>
      </c>
      <c r="Q93" s="368"/>
      <c r="R93" s="145"/>
      <c r="S93" s="1006" t="s">
        <v>890</v>
      </c>
    </row>
    <row r="94" spans="5:19" ht="26.25" thickBot="1" x14ac:dyDescent="0.3">
      <c r="E94" s="651" t="s">
        <v>631</v>
      </c>
      <c r="F94" s="992">
        <v>145</v>
      </c>
      <c r="G94" s="865" t="s">
        <v>196</v>
      </c>
      <c r="H94" s="149">
        <v>9073003499</v>
      </c>
      <c r="I94" s="803" t="s">
        <v>197</v>
      </c>
      <c r="J94" s="740">
        <v>45338</v>
      </c>
      <c r="K94" s="923" t="s">
        <v>23</v>
      </c>
      <c r="L94" s="923" t="s">
        <v>231</v>
      </c>
      <c r="M94" s="923" t="s">
        <v>176</v>
      </c>
      <c r="N94" s="924">
        <v>1056071</v>
      </c>
      <c r="O94" s="208">
        <v>46906</v>
      </c>
      <c r="P94" s="92">
        <v>10</v>
      </c>
      <c r="Q94" s="583" t="s">
        <v>932</v>
      </c>
      <c r="R94" s="196"/>
      <c r="S94" s="1006" t="s">
        <v>890</v>
      </c>
    </row>
    <row r="95" spans="5:19" ht="15.75" thickBot="1" x14ac:dyDescent="0.3">
      <c r="E95" s="79"/>
      <c r="F95" s="992">
        <v>146</v>
      </c>
      <c r="G95" s="866" t="s">
        <v>535</v>
      </c>
      <c r="H95" s="127">
        <v>9551330459</v>
      </c>
      <c r="I95" s="763" t="s">
        <v>538</v>
      </c>
      <c r="J95" s="739">
        <v>46055</v>
      </c>
      <c r="K95" s="216"/>
      <c r="L95" s="178"/>
      <c r="M95" s="178"/>
      <c r="N95" s="96"/>
      <c r="O95" s="207"/>
      <c r="P95" s="179"/>
      <c r="Q95" s="654"/>
      <c r="R95" s="196"/>
      <c r="S95" s="1000"/>
    </row>
    <row r="96" spans="5:19" ht="26.25" thickBot="1" x14ac:dyDescent="0.3">
      <c r="E96" s="79"/>
      <c r="F96" s="992">
        <v>147</v>
      </c>
      <c r="G96" s="851" t="s">
        <v>484</v>
      </c>
      <c r="H96" s="315">
        <v>9360583156</v>
      </c>
      <c r="I96" s="804" t="s">
        <v>445</v>
      </c>
      <c r="J96" s="749">
        <v>46972</v>
      </c>
      <c r="K96" s="655"/>
      <c r="L96" s="595"/>
      <c r="M96" s="595"/>
      <c r="N96" s="596"/>
      <c r="O96" s="571"/>
      <c r="P96" s="572"/>
      <c r="Q96" s="619"/>
      <c r="R96" s="196"/>
      <c r="S96" s="1000"/>
    </row>
    <row r="97" spans="5:19" ht="15.75" thickBot="1" x14ac:dyDescent="0.3">
      <c r="E97" s="79"/>
      <c r="F97" s="6"/>
      <c r="G97" s="846"/>
      <c r="H97" s="123"/>
      <c r="I97" s="805"/>
      <c r="J97" s="734"/>
      <c r="K97" s="68"/>
      <c r="L97" s="68"/>
      <c r="M97" s="68"/>
      <c r="N97" s="79"/>
      <c r="O97" s="112"/>
      <c r="P97" s="32"/>
      <c r="Q97" s="58"/>
      <c r="R97" s="196"/>
      <c r="S97" s="1000"/>
    </row>
    <row r="98" spans="5:19" ht="26.25" thickBot="1" x14ac:dyDescent="0.3">
      <c r="E98" s="656" t="s">
        <v>297</v>
      </c>
      <c r="F98" s="992">
        <v>148</v>
      </c>
      <c r="G98" s="872" t="s">
        <v>298</v>
      </c>
      <c r="H98" s="299">
        <v>9514030491</v>
      </c>
      <c r="I98" s="728" t="s">
        <v>299</v>
      </c>
      <c r="J98" s="716">
        <v>45513</v>
      </c>
      <c r="K98" s="304" t="s">
        <v>23</v>
      </c>
      <c r="L98" s="304" t="s">
        <v>300</v>
      </c>
      <c r="M98" s="304" t="s">
        <v>176</v>
      </c>
      <c r="N98" s="305">
        <v>6551648</v>
      </c>
      <c r="O98" s="306">
        <v>48717</v>
      </c>
      <c r="P98" s="307">
        <v>24</v>
      </c>
      <c r="Q98" s="607">
        <v>24</v>
      </c>
      <c r="R98" s="145"/>
      <c r="S98" s="1006" t="s">
        <v>898</v>
      </c>
    </row>
    <row r="99" spans="5:19" ht="39" thickBot="1" x14ac:dyDescent="0.3">
      <c r="E99" s="657" t="s">
        <v>744</v>
      </c>
      <c r="F99" s="992">
        <v>149</v>
      </c>
      <c r="G99" s="867" t="s">
        <v>793</v>
      </c>
      <c r="H99" s="125" t="s">
        <v>301</v>
      </c>
      <c r="I99" s="19" t="s">
        <v>866</v>
      </c>
      <c r="J99" s="954">
        <v>47202</v>
      </c>
      <c r="K99" s="67" t="s">
        <v>23</v>
      </c>
      <c r="L99" s="67" t="s">
        <v>231</v>
      </c>
      <c r="M99" s="67" t="s">
        <v>176</v>
      </c>
      <c r="N99" s="69" t="s">
        <v>854</v>
      </c>
      <c r="O99" s="95">
        <v>45823</v>
      </c>
      <c r="P99" s="25">
        <v>24</v>
      </c>
      <c r="Q99" s="609">
        <v>24</v>
      </c>
      <c r="R99" s="145"/>
      <c r="S99" s="1006" t="s">
        <v>898</v>
      </c>
    </row>
    <row r="100" spans="5:19" ht="26.25" thickBot="1" x14ac:dyDescent="0.3">
      <c r="E100" s="558" t="s">
        <v>766</v>
      </c>
      <c r="F100" s="992">
        <v>150</v>
      </c>
      <c r="G100" s="876" t="s">
        <v>461</v>
      </c>
      <c r="H100" s="125"/>
      <c r="I100" s="754" t="s">
        <v>606</v>
      </c>
      <c r="J100" s="754">
        <v>46972</v>
      </c>
      <c r="K100" s="67" t="s">
        <v>72</v>
      </c>
      <c r="L100" s="107" t="s">
        <v>457</v>
      </c>
      <c r="M100" s="67" t="s">
        <v>61</v>
      </c>
      <c r="N100" s="81" t="s">
        <v>458</v>
      </c>
      <c r="O100" s="95">
        <v>48717</v>
      </c>
      <c r="P100" s="25">
        <v>21</v>
      </c>
      <c r="Q100" s="609" t="s">
        <v>459</v>
      </c>
      <c r="R100" s="145"/>
      <c r="S100" s="1005" t="s">
        <v>898</v>
      </c>
    </row>
    <row r="101" spans="5:19" ht="15.75" thickBot="1" x14ac:dyDescent="0.3">
      <c r="E101" s="348"/>
      <c r="F101" s="992">
        <v>151</v>
      </c>
      <c r="G101" s="850" t="s">
        <v>687</v>
      </c>
      <c r="H101" s="217">
        <v>968666929</v>
      </c>
      <c r="I101" s="735" t="s">
        <v>577</v>
      </c>
      <c r="J101" s="739">
        <v>46905</v>
      </c>
      <c r="K101" s="70" t="s">
        <v>831</v>
      </c>
      <c r="L101" s="67"/>
      <c r="M101" s="67"/>
      <c r="N101" s="81"/>
      <c r="O101" s="95"/>
      <c r="P101" s="25">
        <v>1</v>
      </c>
      <c r="Q101" s="609">
        <v>1</v>
      </c>
      <c r="R101" s="145"/>
      <c r="S101" s="1000"/>
    </row>
    <row r="102" spans="5:19" ht="27" thickBot="1" x14ac:dyDescent="0.3">
      <c r="E102" s="349"/>
      <c r="F102" s="554"/>
      <c r="G102" s="851"/>
      <c r="H102" s="481"/>
      <c r="I102" s="755"/>
      <c r="J102" s="755" t="s">
        <v>296</v>
      </c>
      <c r="K102" s="564" t="s">
        <v>27</v>
      </c>
      <c r="L102" s="564"/>
      <c r="M102" s="564"/>
      <c r="N102" s="358"/>
      <c r="O102" s="342"/>
      <c r="P102" s="343"/>
      <c r="Q102" s="593"/>
      <c r="R102" s="145"/>
      <c r="S102" s="1000"/>
    </row>
    <row r="103" spans="5:19" ht="15.75" thickBot="1" x14ac:dyDescent="0.3">
      <c r="E103" s="66"/>
      <c r="F103" s="6"/>
      <c r="G103" s="846"/>
      <c r="H103" s="123"/>
      <c r="I103" s="734"/>
      <c r="J103" s="734"/>
      <c r="K103" s="68"/>
      <c r="L103" s="68"/>
      <c r="M103" s="68"/>
      <c r="N103" s="79"/>
      <c r="O103" s="112"/>
      <c r="P103" s="32"/>
      <c r="Q103" s="79"/>
      <c r="R103" s="145"/>
      <c r="S103" s="1000"/>
    </row>
    <row r="104" spans="5:19" ht="39" thickBot="1" x14ac:dyDescent="0.3">
      <c r="E104" s="347" t="s">
        <v>497</v>
      </c>
      <c r="F104" s="992">
        <v>152</v>
      </c>
      <c r="G104" s="854" t="s">
        <v>138</v>
      </c>
      <c r="H104" s="422" t="s">
        <v>139</v>
      </c>
      <c r="I104" s="953" t="s">
        <v>865</v>
      </c>
      <c r="J104" s="954">
        <v>47389</v>
      </c>
      <c r="K104" s="614" t="s">
        <v>26</v>
      </c>
      <c r="L104" s="614" t="s">
        <v>231</v>
      </c>
      <c r="M104" s="614" t="s">
        <v>176</v>
      </c>
      <c r="N104" s="614">
        <v>1054224</v>
      </c>
      <c r="O104" s="615">
        <v>46906</v>
      </c>
      <c r="P104" s="614">
        <v>24</v>
      </c>
      <c r="Q104" s="616">
        <v>24</v>
      </c>
      <c r="R104" s="145"/>
      <c r="S104" s="1006" t="s">
        <v>890</v>
      </c>
    </row>
    <row r="105" spans="5:19" ht="39" thickBot="1" x14ac:dyDescent="0.3">
      <c r="E105" s="563" t="s">
        <v>745</v>
      </c>
      <c r="F105" s="992">
        <v>153</v>
      </c>
      <c r="G105" s="24" t="s">
        <v>794</v>
      </c>
      <c r="H105" s="149"/>
      <c r="I105" s="780" t="s">
        <v>562</v>
      </c>
      <c r="J105" s="718">
        <v>45647</v>
      </c>
      <c r="K105" s="92" t="s">
        <v>72</v>
      </c>
      <c r="L105" s="70" t="s">
        <v>457</v>
      </c>
      <c r="M105" s="92" t="s">
        <v>61</v>
      </c>
      <c r="N105" s="92" t="s">
        <v>565</v>
      </c>
      <c r="O105" s="208">
        <v>48742</v>
      </c>
      <c r="P105" s="92">
        <v>21</v>
      </c>
      <c r="Q105" s="583" t="s">
        <v>499</v>
      </c>
      <c r="R105" s="145"/>
      <c r="S105" s="1006" t="s">
        <v>890</v>
      </c>
    </row>
    <row r="106" spans="5:19" ht="26.25" thickBot="1" x14ac:dyDescent="0.3">
      <c r="E106" s="558" t="s">
        <v>767</v>
      </c>
      <c r="F106" s="992">
        <v>154</v>
      </c>
      <c r="G106" s="106" t="s">
        <v>465</v>
      </c>
      <c r="H106" s="20" t="s">
        <v>206</v>
      </c>
      <c r="I106" s="718" t="s">
        <v>846</v>
      </c>
      <c r="J106" s="739">
        <v>47241</v>
      </c>
      <c r="K106" s="70" t="s">
        <v>309</v>
      </c>
      <c r="L106" s="70" t="s">
        <v>566</v>
      </c>
      <c r="M106" s="92" t="s">
        <v>176</v>
      </c>
      <c r="N106" s="92">
        <v>1183100</v>
      </c>
      <c r="O106" s="208">
        <v>46906</v>
      </c>
      <c r="P106" s="92">
        <v>24</v>
      </c>
      <c r="Q106" s="583">
        <v>24</v>
      </c>
      <c r="R106" s="145"/>
      <c r="S106" s="1006" t="s">
        <v>890</v>
      </c>
    </row>
    <row r="107" spans="5:19" ht="15.75" thickBot="1" x14ac:dyDescent="0.3">
      <c r="E107" s="348"/>
      <c r="F107" s="992">
        <v>155</v>
      </c>
      <c r="G107" s="24" t="s">
        <v>209</v>
      </c>
      <c r="H107" s="220"/>
      <c r="I107" s="251" t="s">
        <v>561</v>
      </c>
      <c r="J107" s="756">
        <v>45956</v>
      </c>
      <c r="K107" s="70" t="s">
        <v>27</v>
      </c>
      <c r="L107" s="70"/>
      <c r="M107" s="92"/>
      <c r="N107" s="92"/>
      <c r="O107" s="99"/>
      <c r="P107" s="92">
        <v>1</v>
      </c>
      <c r="Q107" s="583">
        <v>1</v>
      </c>
      <c r="R107" s="145"/>
      <c r="S107" s="1000"/>
    </row>
    <row r="108" spans="5:19" ht="15.75" thickBot="1" x14ac:dyDescent="0.3">
      <c r="E108" s="349"/>
      <c r="F108" s="433"/>
      <c r="G108" s="856" t="s">
        <v>296</v>
      </c>
      <c r="H108" s="658"/>
      <c r="I108" s="783"/>
      <c r="J108" s="753"/>
      <c r="K108" s="659" t="s">
        <v>831</v>
      </c>
      <c r="L108" s="659"/>
      <c r="M108" s="374"/>
      <c r="N108" s="374"/>
      <c r="O108" s="628"/>
      <c r="P108" s="374">
        <v>1</v>
      </c>
      <c r="Q108" s="376">
        <v>1</v>
      </c>
      <c r="R108" s="145"/>
      <c r="S108" s="1000"/>
    </row>
    <row r="109" spans="5:19" ht="15.75" thickBot="1" x14ac:dyDescent="0.3">
      <c r="E109" s="66"/>
      <c r="F109" s="6"/>
      <c r="G109" s="31"/>
      <c r="H109" s="285"/>
      <c r="I109" s="691"/>
      <c r="J109" s="742"/>
      <c r="K109" s="397"/>
      <c r="L109" s="397"/>
      <c r="M109" s="58"/>
      <c r="N109" s="58"/>
      <c r="O109" s="145"/>
      <c r="P109" s="58"/>
      <c r="Q109" s="58"/>
      <c r="R109" s="145"/>
      <c r="S109" s="1000"/>
    </row>
    <row r="110" spans="5:19" ht="26.25" thickBot="1" x14ac:dyDescent="0.3">
      <c r="E110" s="660" t="s">
        <v>498</v>
      </c>
      <c r="F110" s="992">
        <v>156</v>
      </c>
      <c r="G110" s="649" t="s">
        <v>272</v>
      </c>
      <c r="H110" s="299" t="s">
        <v>273</v>
      </c>
      <c r="I110" s="716" t="s">
        <v>667</v>
      </c>
      <c r="J110" s="723">
        <v>46972</v>
      </c>
      <c r="K110" s="614" t="s">
        <v>23</v>
      </c>
      <c r="L110" s="614" t="s">
        <v>231</v>
      </c>
      <c r="M110" s="614" t="s">
        <v>176</v>
      </c>
      <c r="N110" s="614">
        <v>648719</v>
      </c>
      <c r="O110" s="615">
        <v>46906</v>
      </c>
      <c r="P110" s="614">
        <v>24</v>
      </c>
      <c r="Q110" s="616">
        <v>24</v>
      </c>
      <c r="R110" s="145"/>
      <c r="S110" s="1006" t="s">
        <v>890</v>
      </c>
    </row>
    <row r="111" spans="5:19" ht="39" thickBot="1" x14ac:dyDescent="0.3">
      <c r="E111" s="563" t="s">
        <v>746</v>
      </c>
      <c r="F111" s="992">
        <v>157</v>
      </c>
      <c r="G111" s="24" t="s">
        <v>837</v>
      </c>
      <c r="H111" s="220"/>
      <c r="I111" s="718" t="s">
        <v>847</v>
      </c>
      <c r="J111" s="718">
        <v>46920</v>
      </c>
      <c r="K111" s="70" t="s">
        <v>72</v>
      </c>
      <c r="L111" s="92" t="s">
        <v>457</v>
      </c>
      <c r="M111" s="92" t="s">
        <v>61</v>
      </c>
      <c r="N111" s="92" t="s">
        <v>567</v>
      </c>
      <c r="O111" s="208">
        <v>48742</v>
      </c>
      <c r="P111" s="92">
        <v>21</v>
      </c>
      <c r="Q111" s="583" t="s">
        <v>499</v>
      </c>
      <c r="R111" s="145"/>
      <c r="S111" s="1005" t="s">
        <v>890</v>
      </c>
    </row>
    <row r="112" spans="5:19" ht="26.25" thickBot="1" x14ac:dyDescent="0.3">
      <c r="E112" s="644" t="s">
        <v>768</v>
      </c>
      <c r="F112" s="992">
        <v>158</v>
      </c>
      <c r="G112" s="106" t="s">
        <v>838</v>
      </c>
      <c r="H112" s="125" t="s">
        <v>73</v>
      </c>
      <c r="I112" s="689" t="s">
        <v>654</v>
      </c>
      <c r="J112" s="717">
        <v>47149</v>
      </c>
      <c r="K112" s="70" t="s">
        <v>309</v>
      </c>
      <c r="L112" s="70" t="s">
        <v>19</v>
      </c>
      <c r="M112" s="92" t="s">
        <v>25</v>
      </c>
      <c r="N112" s="92">
        <v>1063946</v>
      </c>
      <c r="O112" s="208">
        <v>46906</v>
      </c>
      <c r="P112" s="92">
        <v>24</v>
      </c>
      <c r="Q112" s="583">
        <v>24</v>
      </c>
      <c r="R112" s="145"/>
      <c r="S112" s="1006" t="s">
        <v>890</v>
      </c>
    </row>
    <row r="113" spans="5:19" ht="26.25" thickBot="1" x14ac:dyDescent="0.3">
      <c r="E113" s="641"/>
      <c r="F113" s="992">
        <v>159</v>
      </c>
      <c r="G113" s="106" t="s">
        <v>332</v>
      </c>
      <c r="H113" s="127"/>
      <c r="I113" s="790" t="s">
        <v>848</v>
      </c>
      <c r="J113" s="718">
        <v>46103</v>
      </c>
      <c r="K113" s="70" t="s">
        <v>831</v>
      </c>
      <c r="L113" s="92"/>
      <c r="M113" s="92"/>
      <c r="N113" s="92"/>
      <c r="O113" s="99"/>
      <c r="P113" s="92">
        <v>1</v>
      </c>
      <c r="Q113" s="583">
        <v>1</v>
      </c>
      <c r="R113" s="145"/>
      <c r="S113" s="1000"/>
    </row>
    <row r="114" spans="5:19" ht="15.75" thickBot="1" x14ac:dyDescent="0.3">
      <c r="E114" s="349"/>
      <c r="F114" s="433"/>
      <c r="G114" s="845"/>
      <c r="H114" s="413"/>
      <c r="I114" s="806"/>
      <c r="J114" s="757"/>
      <c r="K114" s="661" t="s">
        <v>27</v>
      </c>
      <c r="L114" s="661"/>
      <c r="M114" s="617"/>
      <c r="N114" s="617"/>
      <c r="O114" s="662"/>
      <c r="P114" s="617">
        <v>1</v>
      </c>
      <c r="Q114" s="619">
        <v>1</v>
      </c>
      <c r="R114" s="145"/>
      <c r="S114" s="1000"/>
    </row>
    <row r="115" spans="5:19" ht="15.75" thickBot="1" x14ac:dyDescent="0.3">
      <c r="E115" s="66"/>
      <c r="F115" s="6"/>
      <c r="G115" s="846"/>
      <c r="H115" s="123"/>
      <c r="I115" s="788"/>
      <c r="J115" s="742"/>
      <c r="K115" s="397"/>
      <c r="L115" s="397"/>
      <c r="M115" s="58"/>
      <c r="N115" s="58"/>
      <c r="O115" s="145"/>
      <c r="P115" s="58"/>
      <c r="Q115" s="58"/>
      <c r="R115" s="145"/>
      <c r="S115" s="1000"/>
    </row>
    <row r="116" spans="5:19" ht="39" thickBot="1" x14ac:dyDescent="0.3">
      <c r="E116" s="660" t="s">
        <v>587</v>
      </c>
      <c r="F116" s="992">
        <v>160</v>
      </c>
      <c r="G116" s="649" t="s">
        <v>588</v>
      </c>
      <c r="H116" s="299">
        <v>9353441811</v>
      </c>
      <c r="I116" s="789" t="s">
        <v>599</v>
      </c>
      <c r="J116" s="716">
        <v>46972</v>
      </c>
      <c r="K116" s="561" t="s">
        <v>23</v>
      </c>
      <c r="L116" s="561" t="s">
        <v>644</v>
      </c>
      <c r="M116" s="614" t="s">
        <v>176</v>
      </c>
      <c r="N116" s="380" t="s">
        <v>625</v>
      </c>
      <c r="O116" s="663">
        <v>48745</v>
      </c>
      <c r="P116" s="614">
        <v>24</v>
      </c>
      <c r="Q116" s="616">
        <v>24</v>
      </c>
      <c r="R116" s="145"/>
      <c r="S116" s="1006" t="s">
        <v>890</v>
      </c>
    </row>
    <row r="117" spans="5:19" ht="39" thickBot="1" x14ac:dyDescent="0.3">
      <c r="E117" s="664" t="s">
        <v>747</v>
      </c>
      <c r="F117" s="992">
        <v>161</v>
      </c>
      <c r="G117" s="106" t="s">
        <v>877</v>
      </c>
      <c r="H117" s="125">
        <v>9564428675</v>
      </c>
      <c r="I117" s="790" t="s">
        <v>878</v>
      </c>
      <c r="J117" s="718">
        <v>46151</v>
      </c>
      <c r="K117" s="70" t="s">
        <v>23</v>
      </c>
      <c r="L117" s="561" t="s">
        <v>644</v>
      </c>
      <c r="M117" s="92" t="s">
        <v>176</v>
      </c>
      <c r="N117" s="165" t="s">
        <v>626</v>
      </c>
      <c r="O117" s="211">
        <v>48745</v>
      </c>
      <c r="P117" s="92">
        <v>24</v>
      </c>
      <c r="Q117" s="583">
        <v>24</v>
      </c>
      <c r="R117" s="145"/>
      <c r="S117" s="1006" t="s">
        <v>890</v>
      </c>
    </row>
    <row r="118" spans="5:19" ht="39" thickBot="1" x14ac:dyDescent="0.3">
      <c r="E118" s="665" t="s">
        <v>748</v>
      </c>
      <c r="F118" s="992">
        <v>162</v>
      </c>
      <c r="G118" s="106" t="s">
        <v>143</v>
      </c>
      <c r="H118" s="125" t="s">
        <v>144</v>
      </c>
      <c r="I118" s="717" t="s">
        <v>145</v>
      </c>
      <c r="J118" s="715">
        <v>45468</v>
      </c>
      <c r="K118" s="70" t="s">
        <v>72</v>
      </c>
      <c r="L118" s="70" t="s">
        <v>19</v>
      </c>
      <c r="M118" s="92" t="s">
        <v>61</v>
      </c>
      <c r="N118" s="165" t="s">
        <v>627</v>
      </c>
      <c r="O118" s="211">
        <v>48732</v>
      </c>
      <c r="P118" s="92">
        <v>21</v>
      </c>
      <c r="Q118" s="583" t="s">
        <v>452</v>
      </c>
      <c r="R118" s="145"/>
      <c r="S118" s="1006" t="s">
        <v>890</v>
      </c>
    </row>
    <row r="119" spans="5:19" ht="16.5" thickBot="1" x14ac:dyDescent="0.3">
      <c r="E119" s="610"/>
      <c r="F119" s="992">
        <v>163</v>
      </c>
      <c r="G119" s="926" t="s">
        <v>850</v>
      </c>
      <c r="H119" s="125"/>
      <c r="I119" s="927" t="s">
        <v>851</v>
      </c>
      <c r="J119" s="928">
        <v>47246</v>
      </c>
      <c r="K119" s="70" t="s">
        <v>831</v>
      </c>
      <c r="L119" s="70"/>
      <c r="M119" s="92"/>
      <c r="N119" s="202"/>
      <c r="O119" s="211"/>
      <c r="P119" s="92">
        <v>1</v>
      </c>
      <c r="Q119" s="583">
        <v>1</v>
      </c>
      <c r="R119" s="145"/>
      <c r="S119" s="1000"/>
    </row>
    <row r="120" spans="5:19" ht="15.75" thickBot="1" x14ac:dyDescent="0.3">
      <c r="E120" s="612"/>
      <c r="F120" s="992">
        <v>164</v>
      </c>
      <c r="G120" s="873" t="s">
        <v>295</v>
      </c>
      <c r="H120" s="315">
        <v>9913111483</v>
      </c>
      <c r="I120" s="737" t="s">
        <v>477</v>
      </c>
      <c r="J120" s="745">
        <v>45859</v>
      </c>
      <c r="K120" s="584"/>
      <c r="L120" s="584"/>
      <c r="M120" s="584"/>
      <c r="N120" s="584"/>
      <c r="O120" s="584"/>
      <c r="P120" s="584"/>
      <c r="Q120" s="586"/>
      <c r="R120" s="145"/>
      <c r="S120" s="1000"/>
    </row>
    <row r="121" spans="5:19" x14ac:dyDescent="0.25">
      <c r="K121" s="549" t="s">
        <v>39</v>
      </c>
      <c r="L121" s="303" t="s">
        <v>19</v>
      </c>
      <c r="M121" s="303" t="s">
        <v>40</v>
      </c>
      <c r="N121" s="337">
        <v>1269641</v>
      </c>
      <c r="O121" s="300">
        <v>48624</v>
      </c>
      <c r="P121" s="556">
        <v>6</v>
      </c>
      <c r="Q121" s="308">
        <v>3</v>
      </c>
    </row>
    <row r="123" spans="5:19" ht="15.75" thickBot="1" x14ac:dyDescent="0.3">
      <c r="G123" s="849" t="s">
        <v>610</v>
      </c>
      <c r="H123" s="315">
        <v>9534632382</v>
      </c>
      <c r="I123" s="722" t="s">
        <v>611</v>
      </c>
      <c r="J123" s="745">
        <v>46047</v>
      </c>
    </row>
    <row r="130" spans="5:20" x14ac:dyDescent="0.25">
      <c r="E130" s="145"/>
      <c r="G130" s="168"/>
      <c r="H130" s="841"/>
      <c r="I130" s="232"/>
      <c r="O130" s="58"/>
      <c r="S130" s="168"/>
      <c r="T130" s="996"/>
    </row>
    <row r="131" spans="5:20" ht="23.25" x14ac:dyDescent="0.25">
      <c r="E131" s="1128" t="s">
        <v>0</v>
      </c>
      <c r="F131" s="1128"/>
      <c r="G131" s="1128"/>
      <c r="H131" s="1128"/>
      <c r="I131" s="1128"/>
      <c r="J131" s="1128"/>
      <c r="K131" s="1128"/>
      <c r="L131" s="1128"/>
      <c r="M131" s="1128"/>
      <c r="N131" s="1128"/>
      <c r="O131" s="1128"/>
      <c r="P131" s="1128"/>
      <c r="Q131" s="1128"/>
      <c r="R131" s="1128"/>
      <c r="S131" s="187"/>
      <c r="T131" s="1"/>
    </row>
    <row r="132" spans="5:20" x14ac:dyDescent="0.25">
      <c r="E132" s="1129" t="s">
        <v>1</v>
      </c>
      <c r="F132" s="1129"/>
      <c r="G132" s="1129"/>
      <c r="H132" s="1129"/>
      <c r="I132" s="1129"/>
      <c r="J132" s="1129"/>
      <c r="K132" s="1129"/>
      <c r="L132" s="1129"/>
      <c r="M132" s="1129"/>
      <c r="N132" s="1129"/>
      <c r="O132" s="1129"/>
      <c r="P132" s="1129"/>
      <c r="Q132" s="1129"/>
      <c r="R132" s="1129"/>
      <c r="S132" s="188"/>
      <c r="T132" s="143"/>
    </row>
    <row r="133" spans="5:20" ht="21" x14ac:dyDescent="0.25">
      <c r="E133" s="244"/>
      <c r="F133" s="161" t="s">
        <v>947</v>
      </c>
      <c r="G133" s="168"/>
      <c r="H133" s="841"/>
      <c r="I133" s="130"/>
      <c r="O133" s="58"/>
      <c r="S133" s="168"/>
      <c r="T133" s="996"/>
    </row>
    <row r="134" spans="5:20" x14ac:dyDescent="0.25">
      <c r="E134" s="6" t="s">
        <v>862</v>
      </c>
      <c r="F134" s="5"/>
      <c r="G134" s="189"/>
      <c r="H134" s="842"/>
      <c r="I134" s="123"/>
      <c r="J134" s="4"/>
      <c r="K134" s="4"/>
      <c r="L134" s="4"/>
      <c r="M134" s="6"/>
      <c r="N134" s="7"/>
      <c r="O134" s="6"/>
      <c r="P134" s="8"/>
      <c r="Q134" s="8"/>
      <c r="R134" s="4"/>
      <c r="S134" s="189"/>
      <c r="T134" s="997"/>
    </row>
    <row r="135" spans="5:20" x14ac:dyDescent="0.25">
      <c r="E135" s="245"/>
      <c r="F135" s="3" t="s">
        <v>468</v>
      </c>
      <c r="G135" s="168"/>
      <c r="H135" s="841"/>
      <c r="I135" s="130"/>
      <c r="M135" s="6"/>
      <c r="N135" s="7"/>
      <c r="O135" s="6"/>
      <c r="P135" s="8"/>
      <c r="Q135" s="8"/>
      <c r="R135" s="1130"/>
      <c r="S135" s="1130"/>
      <c r="T135" s="996"/>
    </row>
    <row r="136" spans="5:20" x14ac:dyDescent="0.25">
      <c r="E136" s="1131" t="s">
        <v>2</v>
      </c>
      <c r="F136" s="1133" t="s">
        <v>3</v>
      </c>
      <c r="G136" s="1135" t="s">
        <v>2</v>
      </c>
      <c r="H136" s="1137" t="s">
        <v>4</v>
      </c>
      <c r="I136" s="1133" t="s">
        <v>5</v>
      </c>
      <c r="J136" s="1139" t="s">
        <v>6</v>
      </c>
      <c r="K136" s="1140"/>
      <c r="L136" s="1139" t="s">
        <v>7</v>
      </c>
      <c r="M136" s="1141"/>
      <c r="N136" s="1141"/>
      <c r="O136" s="1141"/>
      <c r="P136" s="1141"/>
      <c r="Q136" s="1141"/>
      <c r="R136" s="1140"/>
      <c r="S136" s="190"/>
      <c r="T136" s="996"/>
    </row>
    <row r="137" spans="5:20" ht="15.75" thickBot="1" x14ac:dyDescent="0.3">
      <c r="E137" s="1132"/>
      <c r="F137" s="1134"/>
      <c r="G137" s="1136"/>
      <c r="H137" s="1138"/>
      <c r="I137" s="1134"/>
      <c r="J137" s="9" t="s">
        <v>8</v>
      </c>
      <c r="K137" s="10" t="s">
        <v>9</v>
      </c>
      <c r="L137" s="11" t="s">
        <v>10</v>
      </c>
      <c r="M137" s="12" t="s">
        <v>11</v>
      </c>
      <c r="N137" s="12" t="s">
        <v>12</v>
      </c>
      <c r="O137" s="185" t="s">
        <v>13</v>
      </c>
      <c r="P137" s="12" t="s">
        <v>14</v>
      </c>
      <c r="Q137" s="12" t="s">
        <v>15</v>
      </c>
      <c r="R137" s="12" t="s">
        <v>16</v>
      </c>
      <c r="S137" s="168"/>
      <c r="T137" s="996" t="s">
        <v>901</v>
      </c>
    </row>
    <row r="138" spans="5:20" ht="26.25" thickBot="1" x14ac:dyDescent="0.3">
      <c r="E138" s="389">
        <v>1</v>
      </c>
      <c r="F138" s="404" t="s">
        <v>17</v>
      </c>
      <c r="G138" s="431">
        <f>COUNT(1)</f>
        <v>1</v>
      </c>
      <c r="H138" s="847" t="s">
        <v>32</v>
      </c>
      <c r="I138" s="125">
        <v>9058886534</v>
      </c>
      <c r="J138" s="715" t="s">
        <v>706</v>
      </c>
      <c r="K138" s="717">
        <v>45937</v>
      </c>
      <c r="L138" s="407" t="s">
        <v>18</v>
      </c>
      <c r="M138" s="407" t="s">
        <v>19</v>
      </c>
      <c r="N138" s="407" t="s">
        <v>20</v>
      </c>
      <c r="O138" s="405">
        <v>1312109</v>
      </c>
      <c r="P138" s="423">
        <v>46913</v>
      </c>
      <c r="Q138" s="338">
        <v>6</v>
      </c>
      <c r="R138" s="424" t="s">
        <v>21</v>
      </c>
      <c r="S138" s="191"/>
      <c r="T138" s="998" t="s">
        <v>886</v>
      </c>
    </row>
    <row r="139" spans="5:20" ht="25.5" x14ac:dyDescent="0.25">
      <c r="E139" s="273"/>
      <c r="F139" s="294" t="s">
        <v>711</v>
      </c>
      <c r="G139" s="17">
        <v>2</v>
      </c>
      <c r="H139" s="1071" t="s">
        <v>46</v>
      </c>
      <c r="I139" s="406">
        <v>9355416780</v>
      </c>
      <c r="J139" s="723" t="s">
        <v>705</v>
      </c>
      <c r="K139" s="728">
        <v>47138</v>
      </c>
      <c r="L139" s="429" t="s">
        <v>23</v>
      </c>
      <c r="M139" s="16" t="s">
        <v>24</v>
      </c>
      <c r="N139" s="16" t="s">
        <v>25</v>
      </c>
      <c r="O139" s="17">
        <v>5559379</v>
      </c>
      <c r="P139" s="39">
        <v>46913</v>
      </c>
      <c r="Q139" s="18"/>
      <c r="R139" s="425">
        <v>10</v>
      </c>
      <c r="S139" s="191"/>
      <c r="T139" s="998" t="s">
        <v>886</v>
      </c>
    </row>
    <row r="140" spans="5:20" ht="26.25" thickBot="1" x14ac:dyDescent="0.3">
      <c r="E140" s="273"/>
      <c r="F140" s="295" t="s">
        <v>712</v>
      </c>
      <c r="G140" s="17">
        <v>3</v>
      </c>
      <c r="H140" s="847" t="s">
        <v>782</v>
      </c>
      <c r="I140" s="263">
        <v>9463560375</v>
      </c>
      <c r="J140" s="689" t="s">
        <v>783</v>
      </c>
      <c r="K140" s="1069">
        <v>46972</v>
      </c>
      <c r="L140" s="430">
        <v>46972</v>
      </c>
      <c r="M140" s="16" t="s">
        <v>24</v>
      </c>
      <c r="N140" s="16" t="s">
        <v>25</v>
      </c>
      <c r="O140" s="24">
        <v>5570805</v>
      </c>
      <c r="P140" s="203">
        <v>48723</v>
      </c>
      <c r="Q140" s="25"/>
      <c r="R140" s="425">
        <v>10</v>
      </c>
      <c r="S140" s="192"/>
      <c r="T140" s="999" t="s">
        <v>886</v>
      </c>
    </row>
    <row r="141" spans="5:20" ht="15.75" thickBot="1" x14ac:dyDescent="0.3">
      <c r="E141" s="273"/>
      <c r="F141" s="296"/>
      <c r="G141" s="433"/>
      <c r="H141" s="845"/>
      <c r="I141" s="413"/>
      <c r="J141" s="769"/>
      <c r="K141" s="726"/>
      <c r="L141" s="427" t="s">
        <v>27</v>
      </c>
      <c r="M141" s="415"/>
      <c r="N141" s="415"/>
      <c r="O141" s="416"/>
      <c r="P141" s="342"/>
      <c r="Q141" s="343">
        <v>1</v>
      </c>
      <c r="R141" s="426"/>
      <c r="S141" s="192"/>
      <c r="T141" s="1000"/>
    </row>
    <row r="142" spans="5:20" ht="15.75" thickBot="1" x14ac:dyDescent="0.3">
      <c r="E142" s="273"/>
      <c r="F142" s="27"/>
      <c r="G142" s="6"/>
      <c r="H142" s="1071"/>
      <c r="I142" s="406"/>
      <c r="J142" s="723"/>
      <c r="K142" s="728"/>
      <c r="L142" s="428"/>
      <c r="M142" s="42"/>
      <c r="N142" s="42"/>
      <c r="O142" s="418"/>
      <c r="P142" s="419"/>
      <c r="Q142" s="420"/>
      <c r="R142" s="421"/>
      <c r="S142" s="192"/>
      <c r="T142" s="1000"/>
    </row>
    <row r="143" spans="5:20" x14ac:dyDescent="0.25">
      <c r="E143" s="388">
        <v>2</v>
      </c>
      <c r="F143" s="404" t="s">
        <v>28</v>
      </c>
      <c r="G143" s="405">
        <v>4</v>
      </c>
      <c r="H143" s="843" t="s">
        <v>29</v>
      </c>
      <c r="I143" s="299">
        <v>9942155929</v>
      </c>
      <c r="J143" s="723" t="s">
        <v>707</v>
      </c>
      <c r="K143" s="728">
        <v>45937</v>
      </c>
      <c r="L143" s="407" t="s">
        <v>18</v>
      </c>
      <c r="M143" s="407" t="s">
        <v>19</v>
      </c>
      <c r="N143" s="407" t="s">
        <v>20</v>
      </c>
      <c r="O143" s="408">
        <v>1428739</v>
      </c>
      <c r="P143" s="300" t="s">
        <v>503</v>
      </c>
      <c r="Q143" s="338">
        <v>8</v>
      </c>
      <c r="R143" s="409" t="s">
        <v>31</v>
      </c>
      <c r="S143" s="192"/>
      <c r="T143" s="1001" t="s">
        <v>887</v>
      </c>
    </row>
    <row r="144" spans="5:20" ht="25.5" x14ac:dyDescent="0.25">
      <c r="E144" s="273"/>
      <c r="F144" s="295" t="s">
        <v>713</v>
      </c>
      <c r="G144" s="17">
        <v>5</v>
      </c>
      <c r="H144" s="31" t="s">
        <v>668</v>
      </c>
      <c r="I144" s="975">
        <v>9353254018</v>
      </c>
      <c r="J144" s="742" t="s">
        <v>669</v>
      </c>
      <c r="K144" s="1070">
        <v>47225</v>
      </c>
      <c r="L144" s="23" t="s">
        <v>26</v>
      </c>
      <c r="M144" s="16" t="s">
        <v>24</v>
      </c>
      <c r="N144" s="16" t="s">
        <v>25</v>
      </c>
      <c r="O144" s="24">
        <v>6551010</v>
      </c>
      <c r="P144" s="39">
        <v>48723</v>
      </c>
      <c r="Q144" s="18">
        <v>7</v>
      </c>
      <c r="R144" s="410">
        <v>3</v>
      </c>
      <c r="S144" s="192"/>
      <c r="T144" s="998" t="s">
        <v>886</v>
      </c>
    </row>
    <row r="145" spans="5:20" ht="26.25" thickBot="1" x14ac:dyDescent="0.3">
      <c r="E145" s="273"/>
      <c r="F145" s="411" t="s">
        <v>714</v>
      </c>
      <c r="G145" s="17">
        <v>6</v>
      </c>
      <c r="H145" s="848" t="s">
        <v>795</v>
      </c>
      <c r="I145" s="135">
        <v>9533474075</v>
      </c>
      <c r="J145" s="715" t="s">
        <v>705</v>
      </c>
      <c r="K145" s="717">
        <v>47138</v>
      </c>
      <c r="L145" s="23" t="s">
        <v>26</v>
      </c>
      <c r="M145" s="16" t="s">
        <v>19</v>
      </c>
      <c r="N145" s="16" t="s">
        <v>25</v>
      </c>
      <c r="O145" s="24" t="s">
        <v>33</v>
      </c>
      <c r="P145" s="39">
        <v>46913</v>
      </c>
      <c r="Q145" s="18">
        <v>5</v>
      </c>
      <c r="R145" s="410">
        <v>3</v>
      </c>
      <c r="S145" s="192"/>
      <c r="T145" s="999" t="s">
        <v>886</v>
      </c>
    </row>
    <row r="146" spans="5:20" ht="15.75" thickBot="1" x14ac:dyDescent="0.3">
      <c r="E146" s="273"/>
      <c r="F146" s="296" t="s">
        <v>296</v>
      </c>
      <c r="G146" s="412"/>
      <c r="H146" s="845"/>
      <c r="I146" s="413"/>
      <c r="J146" s="733"/>
      <c r="K146" s="729"/>
      <c r="L146" s="414" t="s">
        <v>27</v>
      </c>
      <c r="M146" s="415"/>
      <c r="N146" s="415"/>
      <c r="O146" s="416"/>
      <c r="P146" s="321"/>
      <c r="Q146" s="322">
        <v>1</v>
      </c>
      <c r="R146" s="417"/>
      <c r="S146" s="192"/>
      <c r="T146" s="1000"/>
    </row>
    <row r="147" spans="5:20" ht="15.75" thickBot="1" x14ac:dyDescent="0.3">
      <c r="E147" s="273"/>
      <c r="F147" s="27"/>
      <c r="G147" s="6"/>
      <c r="H147" s="846" t="s">
        <v>296</v>
      </c>
      <c r="I147" s="123"/>
      <c r="J147" s="734"/>
      <c r="K147" s="719"/>
      <c r="L147" s="26"/>
      <c r="M147" s="30"/>
      <c r="N147" s="30"/>
      <c r="O147" s="31"/>
      <c r="P147" s="8"/>
      <c r="Q147" s="37"/>
      <c r="R147" s="38"/>
      <c r="S147" s="192"/>
      <c r="T147" s="1000"/>
    </row>
    <row r="148" spans="5:20" x14ac:dyDescent="0.25">
      <c r="E148" s="388">
        <v>3</v>
      </c>
      <c r="F148" s="434" t="s">
        <v>34</v>
      </c>
      <c r="G148" s="405">
        <v>7</v>
      </c>
      <c r="H148" s="847" t="s">
        <v>35</v>
      </c>
      <c r="I148" s="125">
        <v>9552962353</v>
      </c>
      <c r="J148" s="715" t="s">
        <v>646</v>
      </c>
      <c r="K148" s="912">
        <v>46979</v>
      </c>
      <c r="L148" s="407" t="s">
        <v>18</v>
      </c>
      <c r="M148" s="407" t="s">
        <v>19</v>
      </c>
      <c r="N148" s="407" t="s">
        <v>20</v>
      </c>
      <c r="O148" s="408">
        <v>1268727</v>
      </c>
      <c r="P148" s="300">
        <v>48723</v>
      </c>
      <c r="Q148" s="338">
        <v>7</v>
      </c>
      <c r="R148" s="409" t="s">
        <v>36</v>
      </c>
      <c r="S148" s="192"/>
      <c r="T148" s="1002" t="s">
        <v>886</v>
      </c>
    </row>
    <row r="149" spans="5:20" ht="26.25" thickBot="1" x14ac:dyDescent="0.3">
      <c r="E149" s="273"/>
      <c r="F149" s="435" t="s">
        <v>715</v>
      </c>
      <c r="G149" s="17">
        <v>8</v>
      </c>
      <c r="H149" s="847" t="s">
        <v>670</v>
      </c>
      <c r="I149" s="125">
        <v>9972591332</v>
      </c>
      <c r="J149" s="715" t="s">
        <v>432</v>
      </c>
      <c r="K149" s="717">
        <v>45765</v>
      </c>
      <c r="L149" s="41" t="s">
        <v>26</v>
      </c>
      <c r="M149" s="42" t="s">
        <v>19</v>
      </c>
      <c r="N149" s="43" t="s">
        <v>25</v>
      </c>
      <c r="O149" s="44">
        <v>983607</v>
      </c>
      <c r="P149" s="176">
        <v>47020</v>
      </c>
      <c r="Q149" s="45">
        <v>10</v>
      </c>
      <c r="R149" s="436">
        <v>10</v>
      </c>
      <c r="S149" s="192"/>
      <c r="T149" s="999" t="s">
        <v>888</v>
      </c>
    </row>
    <row r="150" spans="5:20" ht="15.75" thickBot="1" x14ac:dyDescent="0.3">
      <c r="E150" s="273"/>
      <c r="F150" s="437" t="s">
        <v>751</v>
      </c>
      <c r="G150" s="412"/>
      <c r="H150" s="845"/>
      <c r="I150" s="413"/>
      <c r="J150" s="769"/>
      <c r="K150" s="413"/>
      <c r="L150" s="414" t="s">
        <v>27</v>
      </c>
      <c r="M150" s="415"/>
      <c r="N150" s="415"/>
      <c r="O150" s="416"/>
      <c r="P150" s="321"/>
      <c r="Q150" s="322">
        <v>1</v>
      </c>
      <c r="R150" s="417"/>
      <c r="S150" s="192"/>
      <c r="T150" s="1000"/>
    </row>
    <row r="151" spans="5:20" ht="15.75" thickBot="1" x14ac:dyDescent="0.3">
      <c r="E151" s="273"/>
      <c r="F151" s="7"/>
      <c r="G151" s="6"/>
      <c r="H151" s="846"/>
      <c r="I151" s="123"/>
      <c r="J151" s="122"/>
      <c r="K151" s="123"/>
      <c r="L151" s="26"/>
      <c r="M151" s="30"/>
      <c r="N151" s="30"/>
      <c r="O151" s="31"/>
      <c r="P151" s="8"/>
      <c r="Q151" s="37"/>
      <c r="R151" s="38"/>
      <c r="S151" s="192"/>
      <c r="T151" s="1000"/>
    </row>
    <row r="152" spans="5:20" ht="25.5" x14ac:dyDescent="0.25">
      <c r="E152" s="388">
        <v>4</v>
      </c>
      <c r="F152" s="434" t="s">
        <v>38</v>
      </c>
      <c r="G152" s="405">
        <v>9</v>
      </c>
      <c r="H152" s="910" t="s">
        <v>914</v>
      </c>
      <c r="I152" s="432">
        <v>9974703634</v>
      </c>
      <c r="J152" s="768" t="s">
        <v>915</v>
      </c>
      <c r="K152" s="911">
        <v>47231</v>
      </c>
      <c r="L152" s="452" t="s">
        <v>18</v>
      </c>
      <c r="M152" s="453" t="s">
        <v>19</v>
      </c>
      <c r="N152" s="454" t="s">
        <v>20</v>
      </c>
      <c r="O152" s="455">
        <v>1073114</v>
      </c>
      <c r="P152" s="456">
        <v>47278</v>
      </c>
      <c r="Q152" s="457">
        <v>10</v>
      </c>
      <c r="R152" s="458" t="s">
        <v>372</v>
      </c>
      <c r="S152" s="192"/>
      <c r="T152" s="1001" t="s">
        <v>889</v>
      </c>
    </row>
    <row r="153" spans="5:20" ht="15.75" thickBot="1" x14ac:dyDescent="0.3">
      <c r="E153" s="274"/>
      <c r="F153" s="440" t="s">
        <v>717</v>
      </c>
      <c r="G153" s="17">
        <v>10</v>
      </c>
      <c r="H153" s="106" t="s">
        <v>651</v>
      </c>
      <c r="I153" s="125">
        <v>9678527628</v>
      </c>
      <c r="J153" s="126" t="s">
        <v>659</v>
      </c>
      <c r="K153" s="717">
        <v>45793</v>
      </c>
      <c r="L153" s="23" t="s">
        <v>26</v>
      </c>
      <c r="M153" s="16" t="s">
        <v>43</v>
      </c>
      <c r="N153" s="16" t="s">
        <v>25</v>
      </c>
      <c r="O153" s="24" t="s">
        <v>44</v>
      </c>
      <c r="P153" s="39" t="s">
        <v>936</v>
      </c>
      <c r="Q153" s="18">
        <v>4</v>
      </c>
      <c r="R153" s="410">
        <v>6</v>
      </c>
      <c r="S153" s="192"/>
      <c r="T153" s="999" t="s">
        <v>890</v>
      </c>
    </row>
    <row r="154" spans="5:20" ht="15.75" thickBot="1" x14ac:dyDescent="0.3">
      <c r="E154" s="275"/>
      <c r="F154" s="296" t="s">
        <v>718</v>
      </c>
      <c r="G154" s="412"/>
      <c r="H154" s="849"/>
      <c r="I154" s="315"/>
      <c r="J154" s="771"/>
      <c r="K154" s="722"/>
      <c r="L154" s="442" t="s">
        <v>27</v>
      </c>
      <c r="M154" s="443"/>
      <c r="N154" s="415"/>
      <c r="O154" s="416"/>
      <c r="P154" s="321"/>
      <c r="Q154" s="322">
        <v>1</v>
      </c>
      <c r="R154" s="417"/>
      <c r="S154" s="192"/>
      <c r="T154" s="1000"/>
    </row>
    <row r="155" spans="5:20" ht="15.75" thickBot="1" x14ac:dyDescent="0.3">
      <c r="E155" s="275"/>
      <c r="F155" s="7"/>
      <c r="G155" s="6"/>
      <c r="H155" s="846"/>
      <c r="I155" s="123"/>
      <c r="J155" s="122"/>
      <c r="K155" s="719"/>
      <c r="L155" s="26"/>
      <c r="M155" s="30"/>
      <c r="N155" s="30"/>
      <c r="O155" s="31"/>
      <c r="P155" s="8"/>
      <c r="Q155" s="37"/>
      <c r="R155" s="449"/>
      <c r="S155" s="192"/>
      <c r="T155" s="1000"/>
    </row>
    <row r="156" spans="5:20" ht="26.25" thickBot="1" x14ac:dyDescent="0.3">
      <c r="E156" s="448">
        <v>5</v>
      </c>
      <c r="F156" s="450" t="s">
        <v>45</v>
      </c>
      <c r="G156" s="405">
        <v>11</v>
      </c>
      <c r="H156" s="843" t="s">
        <v>22</v>
      </c>
      <c r="I156" s="451">
        <v>9657829365</v>
      </c>
      <c r="J156" s="822" t="s">
        <v>771</v>
      </c>
      <c r="K156" s="728">
        <v>47182</v>
      </c>
      <c r="L156" s="452" t="s">
        <v>18</v>
      </c>
      <c r="M156" s="453" t="s">
        <v>19</v>
      </c>
      <c r="N156" s="454" t="s">
        <v>20</v>
      </c>
      <c r="O156" s="455">
        <v>1545027</v>
      </c>
      <c r="P156" s="456">
        <v>46081</v>
      </c>
      <c r="Q156" s="457">
        <v>6</v>
      </c>
      <c r="R156" s="458" t="s">
        <v>47</v>
      </c>
      <c r="S156" s="193"/>
      <c r="T156" s="1003" t="s">
        <v>891</v>
      </c>
    </row>
    <row r="157" spans="5:20" ht="25.5" x14ac:dyDescent="0.25">
      <c r="E157" s="279"/>
      <c r="F157" s="459" t="s">
        <v>716</v>
      </c>
      <c r="G157" s="17"/>
      <c r="H157" s="850"/>
      <c r="I157" s="219"/>
      <c r="J157" s="735"/>
      <c r="K157" s="731"/>
      <c r="L157" s="255"/>
      <c r="M157" s="255"/>
      <c r="N157" s="256"/>
      <c r="O157" s="257"/>
      <c r="P157" s="258"/>
      <c r="Q157" s="254"/>
      <c r="R157" s="460"/>
      <c r="S157" s="193"/>
      <c r="T157" s="1000"/>
    </row>
    <row r="158" spans="5:20" ht="15.75" thickBot="1" x14ac:dyDescent="0.3">
      <c r="E158" s="277"/>
      <c r="F158" s="461" t="s">
        <v>752</v>
      </c>
      <c r="G158" s="412"/>
      <c r="H158" s="845"/>
      <c r="I158" s="413"/>
      <c r="J158" s="733"/>
      <c r="K158" s="729"/>
      <c r="L158" s="462"/>
      <c r="M158" s="462"/>
      <c r="N158" s="463"/>
      <c r="O158" s="464"/>
      <c r="P158" s="465"/>
      <c r="Q158" s="466"/>
      <c r="R158" s="467"/>
      <c r="S158" s="193"/>
      <c r="T158" s="1000"/>
    </row>
    <row r="159" spans="5:20" ht="15.75" thickBot="1" x14ac:dyDescent="0.3">
      <c r="E159" s="278"/>
      <c r="F159" s="447"/>
      <c r="G159" s="6"/>
      <c r="H159" s="846"/>
      <c r="I159" s="123"/>
      <c r="J159" s="734"/>
      <c r="K159" s="719"/>
      <c r="L159" s="132"/>
      <c r="M159" s="132"/>
      <c r="N159" s="444"/>
      <c r="O159" s="280"/>
      <c r="P159" s="445"/>
      <c r="Q159" s="446"/>
      <c r="R159" s="283"/>
      <c r="S159" s="193"/>
      <c r="T159" s="1000"/>
    </row>
    <row r="160" spans="5:20" ht="15.75" thickBot="1" x14ac:dyDescent="0.3">
      <c r="E160" s="390">
        <v>6</v>
      </c>
      <c r="F160" s="468" t="s">
        <v>48</v>
      </c>
      <c r="G160" s="405">
        <v>12</v>
      </c>
      <c r="H160" s="847" t="s">
        <v>64</v>
      </c>
      <c r="I160" s="125" t="s">
        <v>65</v>
      </c>
      <c r="J160" s="715" t="s">
        <v>594</v>
      </c>
      <c r="K160" s="720" t="s">
        <v>595</v>
      </c>
      <c r="L160" s="452" t="s">
        <v>18</v>
      </c>
      <c r="M160" s="453" t="s">
        <v>19</v>
      </c>
      <c r="N160" s="454" t="s">
        <v>20</v>
      </c>
      <c r="O160" s="455" t="s">
        <v>834</v>
      </c>
      <c r="P160" s="469">
        <v>46776</v>
      </c>
      <c r="Q160" s="470">
        <v>5</v>
      </c>
      <c r="R160" s="471" t="s">
        <v>47</v>
      </c>
      <c r="S160" s="193"/>
      <c r="T160" s="1003" t="s">
        <v>891</v>
      </c>
    </row>
    <row r="161" spans="5:20" x14ac:dyDescent="0.25">
      <c r="E161" s="279"/>
      <c r="F161" s="472" t="s">
        <v>719</v>
      </c>
      <c r="G161" s="17"/>
      <c r="H161" s="850"/>
      <c r="I161" s="219"/>
      <c r="J161" s="823"/>
      <c r="K161" s="731"/>
      <c r="L161" s="255"/>
      <c r="M161" s="255"/>
      <c r="N161" s="255"/>
      <c r="O161" s="257"/>
      <c r="P161" s="159"/>
      <c r="Q161" s="260"/>
      <c r="R161" s="473"/>
      <c r="S161" s="193"/>
      <c r="T161" s="1000"/>
    </row>
    <row r="162" spans="5:20" ht="15.75" thickBot="1" x14ac:dyDescent="0.3">
      <c r="E162" s="278"/>
      <c r="F162" s="474" t="s">
        <v>753</v>
      </c>
      <c r="G162" s="412"/>
      <c r="H162" s="845"/>
      <c r="I162" s="413"/>
      <c r="J162" s="769"/>
      <c r="K162" s="729"/>
      <c r="L162" s="462"/>
      <c r="M162" s="462"/>
      <c r="N162" s="462"/>
      <c r="O162" s="464"/>
      <c r="P162" s="475"/>
      <c r="Q162" s="476"/>
      <c r="R162" s="477"/>
      <c r="S162" s="193"/>
      <c r="T162" s="1000"/>
    </row>
    <row r="163" spans="5:20" ht="15.75" thickBot="1" x14ac:dyDescent="0.3">
      <c r="E163" s="276"/>
      <c r="F163" s="129"/>
      <c r="G163" s="6"/>
      <c r="H163" s="906"/>
      <c r="I163" s="907"/>
      <c r="J163" s="908"/>
      <c r="K163" s="909"/>
      <c r="L163" s="132"/>
      <c r="M163" s="132"/>
      <c r="N163" s="132"/>
      <c r="O163" s="280"/>
      <c r="P163" s="281"/>
      <c r="Q163" s="282"/>
      <c r="R163" s="132"/>
      <c r="S163" s="193"/>
      <c r="T163" s="1000"/>
    </row>
    <row r="164" spans="5:20" ht="15.75" thickBot="1" x14ac:dyDescent="0.3">
      <c r="E164" s="478">
        <v>7</v>
      </c>
      <c r="F164" s="468" t="s">
        <v>49</v>
      </c>
      <c r="G164" s="405">
        <v>13</v>
      </c>
      <c r="H164" s="903" t="s">
        <v>41</v>
      </c>
      <c r="I164" s="127" t="s">
        <v>42</v>
      </c>
      <c r="J164" s="904" t="s">
        <v>708</v>
      </c>
      <c r="K164" s="905">
        <v>47149</v>
      </c>
      <c r="L164" s="452" t="s">
        <v>18</v>
      </c>
      <c r="M164" s="453" t="s">
        <v>19</v>
      </c>
      <c r="N164" s="454" t="s">
        <v>20</v>
      </c>
      <c r="O164" s="455">
        <v>1428734</v>
      </c>
      <c r="P164" s="469">
        <v>45971</v>
      </c>
      <c r="Q164" s="470">
        <v>10</v>
      </c>
      <c r="R164" s="471" t="s">
        <v>372</v>
      </c>
      <c r="S164" s="193"/>
      <c r="T164" s="1003" t="s">
        <v>892</v>
      </c>
    </row>
    <row r="165" spans="5:20" ht="15.75" thickBot="1" x14ac:dyDescent="0.3">
      <c r="E165" s="279"/>
      <c r="F165" s="479" t="s">
        <v>722</v>
      </c>
      <c r="G165" s="412"/>
      <c r="H165" s="851"/>
      <c r="I165" s="481"/>
      <c r="J165" s="772"/>
      <c r="K165" s="721"/>
      <c r="L165" s="482"/>
      <c r="M165" s="482"/>
      <c r="N165" s="482"/>
      <c r="O165" s="483"/>
      <c r="P165" s="484"/>
      <c r="Q165" s="485"/>
      <c r="R165" s="486"/>
      <c r="S165" s="193"/>
      <c r="T165" s="1000"/>
    </row>
    <row r="166" spans="5:20" ht="15.75" thickBot="1" x14ac:dyDescent="0.3">
      <c r="E166" s="278"/>
      <c r="F166" s="129"/>
      <c r="G166" s="6"/>
      <c r="H166" s="846"/>
      <c r="I166" s="123"/>
      <c r="J166" s="122"/>
      <c r="K166" s="719"/>
      <c r="L166" s="132"/>
      <c r="M166" s="132"/>
      <c r="N166" s="132"/>
      <c r="O166" s="280"/>
      <c r="P166" s="281"/>
      <c r="Q166" s="282"/>
      <c r="R166" s="283"/>
      <c r="S166" s="193"/>
      <c r="T166" s="1000"/>
    </row>
    <row r="167" spans="5:20" ht="26.25" thickBot="1" x14ac:dyDescent="0.3">
      <c r="E167" s="489">
        <v>8</v>
      </c>
      <c r="F167" s="490" t="s">
        <v>786</v>
      </c>
      <c r="G167" s="383">
        <v>14</v>
      </c>
      <c r="H167" s="852" t="s">
        <v>907</v>
      </c>
      <c r="I167" s="491">
        <v>9461231519</v>
      </c>
      <c r="J167" s="816" t="s">
        <v>908</v>
      </c>
      <c r="K167" s="764">
        <v>47505</v>
      </c>
      <c r="L167" s="492" t="s">
        <v>72</v>
      </c>
      <c r="M167" s="492" t="s">
        <v>231</v>
      </c>
      <c r="N167" s="492" t="s">
        <v>20</v>
      </c>
      <c r="O167" s="493" t="s">
        <v>787</v>
      </c>
      <c r="P167" s="494">
        <v>47309</v>
      </c>
      <c r="Q167" s="495"/>
      <c r="R167" s="496" t="s">
        <v>47</v>
      </c>
      <c r="S167" s="193"/>
      <c r="T167" s="1003" t="s">
        <v>890</v>
      </c>
    </row>
    <row r="168" spans="5:20" ht="15.75" thickBot="1" x14ac:dyDescent="0.3">
      <c r="E168" s="489"/>
      <c r="F168" s="488"/>
      <c r="G168" s="6"/>
      <c r="H168" s="280"/>
      <c r="I168" s="128"/>
      <c r="J168" s="817"/>
      <c r="K168" s="719"/>
      <c r="L168" s="1008" t="s">
        <v>548</v>
      </c>
      <c r="M168" s="1009"/>
      <c r="N168" s="492"/>
      <c r="O168" s="493"/>
      <c r="P168" s="1010"/>
      <c r="Q168" s="1011">
        <v>1</v>
      </c>
      <c r="R168" s="1012">
        <v>1</v>
      </c>
      <c r="S168" s="193"/>
      <c r="T168" s="1000"/>
    </row>
    <row r="169" spans="5:20" ht="15.75" thickBot="1" x14ac:dyDescent="0.3">
      <c r="E169" s="487"/>
      <c r="F169" s="488"/>
      <c r="G169" s="6"/>
      <c r="H169" s="280"/>
      <c r="I169" s="128"/>
      <c r="J169" s="817"/>
      <c r="K169" s="719"/>
      <c r="L169" s="132"/>
      <c r="M169" s="132"/>
      <c r="N169" s="132"/>
      <c r="O169" s="280"/>
      <c r="P169" s="281"/>
      <c r="Q169" s="282"/>
      <c r="R169" s="283"/>
      <c r="S169" s="193"/>
      <c r="T169" s="1000"/>
    </row>
    <row r="170" spans="5:20" ht="26.25" thickBot="1" x14ac:dyDescent="0.3">
      <c r="E170" s="498">
        <v>9</v>
      </c>
      <c r="F170" s="499" t="s">
        <v>51</v>
      </c>
      <c r="G170" s="405">
        <v>15</v>
      </c>
      <c r="H170" s="853" t="s">
        <v>688</v>
      </c>
      <c r="I170" s="337">
        <v>9810697946</v>
      </c>
      <c r="J170" s="778" t="s">
        <v>784</v>
      </c>
      <c r="K170" s="723">
        <v>47188</v>
      </c>
      <c r="L170" s="452" t="s">
        <v>39</v>
      </c>
      <c r="M170" s="453" t="s">
        <v>19</v>
      </c>
      <c r="N170" s="452" t="s">
        <v>40</v>
      </c>
      <c r="O170" s="455">
        <v>20674</v>
      </c>
      <c r="P170" s="456">
        <v>48717</v>
      </c>
      <c r="Q170" s="457">
        <v>10</v>
      </c>
      <c r="R170" s="500">
        <v>10</v>
      </c>
      <c r="S170" s="193"/>
      <c r="T170" s="1003" t="s">
        <v>890</v>
      </c>
    </row>
    <row r="171" spans="5:20" ht="24" x14ac:dyDescent="0.25">
      <c r="E171" s="277"/>
      <c r="F171" s="501" t="s">
        <v>720</v>
      </c>
      <c r="G171" s="17"/>
      <c r="H171" s="850"/>
      <c r="I171" s="219"/>
      <c r="J171" s="731"/>
      <c r="K171" s="732"/>
      <c r="L171" s="52" t="s">
        <v>548</v>
      </c>
      <c r="M171" s="52"/>
      <c r="N171" s="49"/>
      <c r="O171" s="53"/>
      <c r="P171" s="204"/>
      <c r="Q171" s="54">
        <v>1</v>
      </c>
      <c r="R171" s="502">
        <v>1</v>
      </c>
      <c r="S171" s="193"/>
      <c r="T171" s="1000"/>
    </row>
    <row r="172" spans="5:20" ht="15.75" thickBot="1" x14ac:dyDescent="0.3">
      <c r="E172" s="277"/>
      <c r="F172" s="503" t="s">
        <v>721</v>
      </c>
      <c r="G172" s="412"/>
      <c r="H172" s="845"/>
      <c r="I172" s="413"/>
      <c r="J172" s="729"/>
      <c r="K172" s="733"/>
      <c r="L172" s="482"/>
      <c r="M172" s="482"/>
      <c r="N172" s="482"/>
      <c r="O172" s="483"/>
      <c r="P172" s="504"/>
      <c r="Q172" s="505"/>
      <c r="R172" s="506"/>
      <c r="S172" s="193"/>
      <c r="T172" s="1000"/>
    </row>
    <row r="173" spans="5:20" ht="15.75" thickBot="1" x14ac:dyDescent="0.3">
      <c r="E173" s="278"/>
      <c r="F173" s="402"/>
      <c r="G173" s="6"/>
      <c r="H173" s="846"/>
      <c r="I173" s="123"/>
      <c r="J173" s="719"/>
      <c r="K173" s="734"/>
      <c r="L173" s="132"/>
      <c r="M173" s="132"/>
      <c r="N173" s="132"/>
      <c r="O173" s="280"/>
      <c r="P173" s="445"/>
      <c r="Q173" s="446"/>
      <c r="R173" s="444"/>
      <c r="S173" s="193"/>
      <c r="T173" s="1000"/>
    </row>
    <row r="174" spans="5:20" ht="26.25" thickBot="1" x14ac:dyDescent="0.3">
      <c r="E174" s="497">
        <v>10</v>
      </c>
      <c r="F174" s="507" t="s">
        <v>54</v>
      </c>
      <c r="G174" s="405">
        <v>16</v>
      </c>
      <c r="H174" s="843" t="s">
        <v>867</v>
      </c>
      <c r="I174" s="299">
        <v>9678367141</v>
      </c>
      <c r="J174" s="773" t="s">
        <v>868</v>
      </c>
      <c r="K174" s="730">
        <v>47430</v>
      </c>
      <c r="L174" s="452" t="s">
        <v>39</v>
      </c>
      <c r="M174" s="453" t="s">
        <v>19</v>
      </c>
      <c r="N174" s="452" t="s">
        <v>40</v>
      </c>
      <c r="O174" s="508">
        <v>1269653</v>
      </c>
      <c r="P174" s="456">
        <v>48624</v>
      </c>
      <c r="Q174" s="457">
        <v>5</v>
      </c>
      <c r="R174" s="500">
        <v>5</v>
      </c>
      <c r="S174" s="194"/>
      <c r="T174" s="1003" t="s">
        <v>893</v>
      </c>
    </row>
    <row r="175" spans="5:20" ht="24" x14ac:dyDescent="0.25">
      <c r="E175" s="257"/>
      <c r="F175" s="501" t="s">
        <v>723</v>
      </c>
      <c r="G175" s="17"/>
      <c r="H175" s="257"/>
      <c r="I175" s="261"/>
      <c r="J175" s="818"/>
      <c r="K175" s="765"/>
      <c r="L175" s="49"/>
      <c r="M175" s="52"/>
      <c r="N175" s="49"/>
      <c r="O175" s="48"/>
      <c r="P175" s="204"/>
      <c r="Q175" s="54"/>
      <c r="R175" s="502"/>
      <c r="S175" s="194"/>
      <c r="T175" s="1000"/>
    </row>
    <row r="176" spans="5:20" ht="15.75" thickBot="1" x14ac:dyDescent="0.3">
      <c r="E176" s="401"/>
      <c r="F176" s="503" t="s">
        <v>754</v>
      </c>
      <c r="G176" s="412"/>
      <c r="H176" s="464"/>
      <c r="I176" s="510"/>
      <c r="J176" s="819"/>
      <c r="K176" s="729"/>
      <c r="L176" s="511"/>
      <c r="M176" s="512"/>
      <c r="N176" s="511"/>
      <c r="O176" s="513"/>
      <c r="P176" s="514"/>
      <c r="Q176" s="515"/>
      <c r="R176" s="516"/>
      <c r="S176" s="194"/>
      <c r="T176" s="1000"/>
    </row>
    <row r="177" spans="5:20" ht="15.75" thickBot="1" x14ac:dyDescent="0.3">
      <c r="E177" s="401"/>
      <c r="F177" s="402"/>
      <c r="G177" s="6"/>
      <c r="H177" s="280"/>
      <c r="I177" s="128"/>
      <c r="J177" s="817"/>
      <c r="K177" s="719"/>
      <c r="L177" s="132"/>
      <c r="M177" s="132"/>
      <c r="N177" s="132"/>
      <c r="O177" s="284"/>
      <c r="P177" s="445"/>
      <c r="Q177" s="446"/>
      <c r="R177" s="444"/>
      <c r="S177" s="194"/>
      <c r="T177" s="1000"/>
    </row>
    <row r="178" spans="5:20" ht="15.75" thickBot="1" x14ac:dyDescent="0.3">
      <c r="E178" s="498">
        <v>11</v>
      </c>
      <c r="F178" s="468" t="s">
        <v>55</v>
      </c>
      <c r="G178" s="405">
        <v>17</v>
      </c>
      <c r="H178" s="854" t="s">
        <v>106</v>
      </c>
      <c r="I178" s="299">
        <v>9161681317</v>
      </c>
      <c r="J178" s="774" t="s">
        <v>709</v>
      </c>
      <c r="K178" s="714">
        <v>47252</v>
      </c>
      <c r="L178" s="452" t="s">
        <v>39</v>
      </c>
      <c r="M178" s="453" t="s">
        <v>19</v>
      </c>
      <c r="N178" s="977" t="s">
        <v>40</v>
      </c>
      <c r="O178" s="508">
        <v>107973</v>
      </c>
      <c r="P178" s="469">
        <v>47346</v>
      </c>
      <c r="Q178" s="470">
        <v>5</v>
      </c>
      <c r="R178" s="471">
        <v>5</v>
      </c>
      <c r="S178" s="194"/>
      <c r="T178" s="1004" t="s">
        <v>894</v>
      </c>
    </row>
    <row r="179" spans="5:20" x14ac:dyDescent="0.25">
      <c r="E179" s="253"/>
      <c r="F179" s="472" t="s">
        <v>724</v>
      </c>
      <c r="G179" s="17"/>
      <c r="H179" s="855"/>
      <c r="I179" s="219"/>
      <c r="J179" s="735"/>
      <c r="K179" s="735"/>
      <c r="L179" s="255"/>
      <c r="M179" s="255"/>
      <c r="N179" s="255"/>
      <c r="O179" s="259"/>
      <c r="P179" s="159"/>
      <c r="Q179" s="260"/>
      <c r="R179" s="473"/>
      <c r="S179" s="194"/>
      <c r="T179" s="1000"/>
    </row>
    <row r="180" spans="5:20" ht="15.75" thickBot="1" x14ac:dyDescent="0.3">
      <c r="E180" s="517"/>
      <c r="F180" s="474" t="s">
        <v>725</v>
      </c>
      <c r="G180" s="412"/>
      <c r="H180" s="856"/>
      <c r="I180" s="413"/>
      <c r="J180" s="733"/>
      <c r="K180" s="733"/>
      <c r="L180" s="462"/>
      <c r="M180" s="462"/>
      <c r="N180" s="462"/>
      <c r="O180" s="509"/>
      <c r="P180" s="475"/>
      <c r="Q180" s="476"/>
      <c r="R180" s="477"/>
      <c r="S180" s="194"/>
      <c r="T180" s="1000"/>
    </row>
    <row r="181" spans="5:20" ht="15.75" thickBot="1" x14ac:dyDescent="0.3">
      <c r="E181" s="284"/>
      <c r="F181" s="129"/>
      <c r="G181" s="6"/>
      <c r="H181" s="921"/>
      <c r="I181" s="907"/>
      <c r="J181" s="922"/>
      <c r="K181" s="922"/>
      <c r="L181" s="132"/>
      <c r="M181" s="132"/>
      <c r="N181" s="132"/>
      <c r="O181" s="284"/>
      <c r="P181" s="281"/>
      <c r="Q181" s="282"/>
      <c r="R181" s="132"/>
      <c r="S181" s="194"/>
      <c r="T181" s="1000"/>
    </row>
    <row r="182" spans="5:20" ht="15.75" thickBot="1" x14ac:dyDescent="0.3">
      <c r="E182" s="518">
        <v>12</v>
      </c>
      <c r="F182" s="468" t="s">
        <v>839</v>
      </c>
      <c r="G182" s="405">
        <v>18</v>
      </c>
      <c r="H182" s="105" t="s">
        <v>817</v>
      </c>
      <c r="I182" s="127">
        <v>9073350430</v>
      </c>
      <c r="J182" s="172" t="s">
        <v>874</v>
      </c>
      <c r="K182" s="920">
        <v>47219</v>
      </c>
      <c r="L182" s="519" t="s">
        <v>18</v>
      </c>
      <c r="M182" s="520" t="s">
        <v>19</v>
      </c>
      <c r="N182" s="521" t="s">
        <v>20</v>
      </c>
      <c r="O182" s="522" t="s">
        <v>805</v>
      </c>
      <c r="P182" s="523">
        <v>46776</v>
      </c>
      <c r="Q182" s="524">
        <v>8</v>
      </c>
      <c r="R182" s="525" t="s">
        <v>57</v>
      </c>
      <c r="S182" s="194"/>
      <c r="T182" s="1003" t="s">
        <v>891</v>
      </c>
    </row>
    <row r="183" spans="5:20" x14ac:dyDescent="0.25">
      <c r="E183" s="253"/>
      <c r="F183" s="472" t="s">
        <v>840</v>
      </c>
      <c r="G183" s="17"/>
      <c r="H183" s="858"/>
      <c r="I183" s="128"/>
      <c r="J183" s="812"/>
      <c r="K183" s="731"/>
      <c r="L183" s="683"/>
      <c r="M183" s="255"/>
      <c r="N183" s="256"/>
      <c r="O183" s="262"/>
      <c r="P183" s="159"/>
      <c r="Q183" s="260"/>
      <c r="R183" s="473"/>
      <c r="S183" s="194"/>
      <c r="T183" s="1000"/>
    </row>
    <row r="184" spans="5:20" ht="15.75" thickBot="1" x14ac:dyDescent="0.3">
      <c r="E184" s="517"/>
      <c r="F184" s="474" t="s">
        <v>841</v>
      </c>
      <c r="G184" s="412"/>
      <c r="H184" s="859"/>
      <c r="I184" s="510"/>
      <c r="J184" s="821"/>
      <c r="K184" s="729"/>
      <c r="L184" s="462"/>
      <c r="M184" s="462"/>
      <c r="N184" s="463"/>
      <c r="O184" s="526"/>
      <c r="P184" s="475"/>
      <c r="Q184" s="476"/>
      <c r="R184" s="477"/>
      <c r="S184" s="194"/>
      <c r="T184" s="1000"/>
    </row>
    <row r="185" spans="5:20" ht="15.75" thickBot="1" x14ac:dyDescent="0.3">
      <c r="E185" s="284"/>
      <c r="F185" s="129"/>
      <c r="G185" s="919"/>
      <c r="H185" s="860"/>
      <c r="I185" s="128"/>
      <c r="J185" s="727"/>
      <c r="K185" s="719"/>
      <c r="L185" s="132"/>
      <c r="M185" s="132"/>
      <c r="N185" s="444"/>
      <c r="O185" s="403"/>
      <c r="P185" s="281"/>
      <c r="Q185" s="282"/>
      <c r="R185" s="132"/>
      <c r="S185" s="194"/>
      <c r="T185" s="1000"/>
    </row>
    <row r="186" spans="5:20" ht="16.5" customHeight="1" thickBot="1" x14ac:dyDescent="0.3">
      <c r="E186" s="518">
        <v>13</v>
      </c>
      <c r="F186" s="468" t="s">
        <v>56</v>
      </c>
      <c r="G186" s="405">
        <v>19</v>
      </c>
      <c r="H186" s="857" t="s">
        <v>949</v>
      </c>
      <c r="I186" s="406"/>
      <c r="J186" s="820"/>
      <c r="K186" s="766"/>
      <c r="L186" s="519" t="s">
        <v>18</v>
      </c>
      <c r="M186" s="520" t="s">
        <v>19</v>
      </c>
      <c r="N186" s="521" t="s">
        <v>20</v>
      </c>
      <c r="O186" s="522">
        <v>1071798</v>
      </c>
      <c r="P186" s="523">
        <v>46975</v>
      </c>
      <c r="Q186" s="524">
        <v>9</v>
      </c>
      <c r="R186" s="525" t="s">
        <v>57</v>
      </c>
      <c r="S186" s="194"/>
      <c r="T186" s="1003" t="s">
        <v>886</v>
      </c>
    </row>
    <row r="187" spans="5:20" x14ac:dyDescent="0.25">
      <c r="E187" s="253"/>
      <c r="F187" s="472" t="s">
        <v>726</v>
      </c>
      <c r="G187" s="17"/>
      <c r="H187" s="858"/>
      <c r="I187" s="128"/>
      <c r="J187" s="812"/>
      <c r="K187" s="731"/>
      <c r="L187" s="683"/>
      <c r="M187" s="255"/>
      <c r="N187" s="256"/>
      <c r="O187" s="262"/>
      <c r="P187" s="159"/>
      <c r="Q187" s="260"/>
      <c r="R187" s="473"/>
      <c r="S187" s="194"/>
      <c r="T187" s="1000"/>
    </row>
    <row r="188" spans="5:20" ht="14.25" customHeight="1" thickBot="1" x14ac:dyDescent="0.3">
      <c r="E188" s="181"/>
      <c r="F188" s="474" t="s">
        <v>755</v>
      </c>
      <c r="G188" s="412"/>
      <c r="H188" s="859"/>
      <c r="I188" s="510"/>
      <c r="J188" s="821"/>
      <c r="K188" s="729"/>
      <c r="L188" s="462"/>
      <c r="M188" s="462"/>
      <c r="N188" s="463"/>
      <c r="O188" s="526"/>
      <c r="P188" s="475"/>
      <c r="Q188" s="476"/>
      <c r="R188" s="477"/>
      <c r="S188" s="194"/>
      <c r="T188" s="1000"/>
    </row>
    <row r="189" spans="5:20" ht="15.75" thickBot="1" x14ac:dyDescent="0.3">
      <c r="E189" s="517"/>
      <c r="F189" s="129"/>
      <c r="G189" s="6"/>
      <c r="H189" s="860"/>
      <c r="I189" s="128"/>
      <c r="J189" s="727"/>
      <c r="K189" s="719"/>
      <c r="L189" s="132"/>
      <c r="M189" s="132"/>
      <c r="N189" s="444"/>
      <c r="O189" s="403"/>
      <c r="P189" s="281"/>
      <c r="Q189" s="282"/>
      <c r="R189" s="132"/>
      <c r="S189" s="194"/>
      <c r="T189" s="1000"/>
    </row>
    <row r="190" spans="5:20" ht="18" customHeight="1" thickBot="1" x14ac:dyDescent="0.3">
      <c r="E190" s="518">
        <v>14</v>
      </c>
      <c r="F190" s="507" t="s">
        <v>543</v>
      </c>
      <c r="G190" s="405">
        <v>20</v>
      </c>
      <c r="H190" s="847" t="s">
        <v>920</v>
      </c>
      <c r="I190" s="13">
        <v>9535637974</v>
      </c>
      <c r="J190" s="718" t="s">
        <v>777</v>
      </c>
      <c r="K190" s="718">
        <v>47131</v>
      </c>
      <c r="L190" s="452" t="s">
        <v>39</v>
      </c>
      <c r="M190" s="407" t="s">
        <v>19</v>
      </c>
      <c r="N190" s="528" t="s">
        <v>103</v>
      </c>
      <c r="O190" s="298">
        <v>1096993</v>
      </c>
      <c r="P190" s="300">
        <v>48717</v>
      </c>
      <c r="Q190" s="338">
        <v>5</v>
      </c>
      <c r="R190" s="529">
        <v>5</v>
      </c>
      <c r="S190" s="168"/>
      <c r="T190" s="1003" t="s">
        <v>890</v>
      </c>
    </row>
    <row r="191" spans="5:20" ht="15.75" customHeight="1" x14ac:dyDescent="0.25">
      <c r="E191" s="85"/>
      <c r="F191" s="530" t="s">
        <v>727</v>
      </c>
      <c r="G191" s="17"/>
      <c r="H191" s="850"/>
      <c r="I191" s="219"/>
      <c r="J191" s="775"/>
      <c r="K191" s="732"/>
      <c r="L191" s="52" t="s">
        <v>548</v>
      </c>
      <c r="M191" s="16"/>
      <c r="N191" s="180"/>
      <c r="O191" s="19"/>
      <c r="P191" s="39"/>
      <c r="Q191" s="18">
        <v>1</v>
      </c>
      <c r="R191" s="531">
        <v>1</v>
      </c>
      <c r="S191" s="168"/>
      <c r="T191" s="1000"/>
    </row>
    <row r="192" spans="5:20" ht="6" customHeight="1" thickBot="1" x14ac:dyDescent="0.3">
      <c r="E192" s="6"/>
      <c r="F192" s="503" t="s">
        <v>728</v>
      </c>
      <c r="G192" s="412"/>
      <c r="H192" s="845"/>
      <c r="I192" s="413"/>
      <c r="J192" s="776"/>
      <c r="K192" s="733"/>
      <c r="L192" s="482"/>
      <c r="M192" s="532"/>
      <c r="N192" s="533"/>
      <c r="O192" s="480"/>
      <c r="P192" s="534"/>
      <c r="Q192" s="316"/>
      <c r="R192" s="535"/>
      <c r="S192" s="168"/>
      <c r="T192" s="1000"/>
    </row>
    <row r="193" spans="5:20" ht="15.75" thickBot="1" x14ac:dyDescent="0.3">
      <c r="E193" s="86"/>
      <c r="F193" s="402"/>
      <c r="G193" s="6"/>
      <c r="H193" s="846"/>
      <c r="I193" s="123"/>
      <c r="J193" s="691"/>
      <c r="K193" s="734"/>
      <c r="L193" s="132"/>
      <c r="M193" s="30"/>
      <c r="N193" s="527"/>
      <c r="O193" s="28"/>
      <c r="P193" s="8"/>
      <c r="Q193" s="37"/>
      <c r="R193" s="123"/>
      <c r="S193" s="168"/>
      <c r="T193" s="1000"/>
    </row>
    <row r="194" spans="5:20" ht="17.25" customHeight="1" thickBot="1" x14ac:dyDescent="0.3">
      <c r="E194" s="518">
        <v>15</v>
      </c>
      <c r="F194" s="468" t="s">
        <v>544</v>
      </c>
      <c r="G194" s="405">
        <v>21</v>
      </c>
      <c r="H194" s="861" t="s">
        <v>616</v>
      </c>
      <c r="I194" s="299">
        <v>9650855436</v>
      </c>
      <c r="J194" s="724" t="s">
        <v>869</v>
      </c>
      <c r="K194" s="728">
        <v>47499</v>
      </c>
      <c r="L194" s="452" t="s">
        <v>39</v>
      </c>
      <c r="M194" s="407" t="s">
        <v>19</v>
      </c>
      <c r="N194" s="528" t="s">
        <v>103</v>
      </c>
      <c r="O194" s="298" t="s">
        <v>570</v>
      </c>
      <c r="P194" s="536">
        <v>46906</v>
      </c>
      <c r="Q194" s="338">
        <v>5</v>
      </c>
      <c r="R194" s="529">
        <v>5</v>
      </c>
      <c r="S194" s="168"/>
      <c r="T194" s="1003" t="s">
        <v>890</v>
      </c>
    </row>
    <row r="195" spans="5:20" ht="15.75" thickBot="1" x14ac:dyDescent="0.3">
      <c r="E195" s="85"/>
      <c r="F195" s="474" t="s">
        <v>729</v>
      </c>
      <c r="G195" s="412"/>
      <c r="H195" s="851"/>
      <c r="I195" s="481"/>
      <c r="J195" s="777"/>
      <c r="K195" s="736"/>
      <c r="L195" s="511" t="s">
        <v>548</v>
      </c>
      <c r="M195" s="415"/>
      <c r="N195" s="537"/>
      <c r="O195" s="441"/>
      <c r="P195" s="334"/>
      <c r="Q195" s="322"/>
      <c r="R195" s="538"/>
      <c r="S195" s="168"/>
      <c r="T195" s="1000"/>
    </row>
    <row r="196" spans="5:20" ht="15.75" thickBot="1" x14ac:dyDescent="0.3">
      <c r="E196" s="86"/>
      <c r="F196" s="129"/>
      <c r="G196" s="6"/>
      <c r="H196" s="846"/>
      <c r="I196" s="123"/>
      <c r="J196" s="821"/>
      <c r="K196" s="729"/>
      <c r="L196" s="132"/>
      <c r="M196" s="30"/>
      <c r="N196" s="527"/>
      <c r="O196" s="28"/>
      <c r="P196" s="155"/>
      <c r="Q196" s="37"/>
      <c r="R196" s="123"/>
      <c r="S196" s="168"/>
      <c r="T196" s="1000"/>
    </row>
    <row r="197" spans="5:20" ht="15.75" thickBot="1" x14ac:dyDescent="0.3">
      <c r="E197" s="518">
        <v>16</v>
      </c>
      <c r="F197" s="468" t="s">
        <v>545</v>
      </c>
      <c r="G197" s="508">
        <v>22</v>
      </c>
      <c r="H197" s="978" t="s">
        <v>50</v>
      </c>
      <c r="I197" s="406">
        <v>9979923670</v>
      </c>
      <c r="J197" s="979" t="s">
        <v>872</v>
      </c>
      <c r="K197" s="980">
        <v>47009</v>
      </c>
      <c r="L197" s="452" t="s">
        <v>39</v>
      </c>
      <c r="M197" s="407" t="s">
        <v>19</v>
      </c>
      <c r="N197" s="981" t="s">
        <v>103</v>
      </c>
      <c r="O197" s="982">
        <v>883192</v>
      </c>
      <c r="P197" s="469">
        <v>47345</v>
      </c>
      <c r="Q197" s="470">
        <v>5</v>
      </c>
      <c r="R197" s="983">
        <v>5</v>
      </c>
      <c r="S197" s="984"/>
      <c r="T197" s="1004" t="s">
        <v>890</v>
      </c>
    </row>
    <row r="198" spans="5:20" ht="15.75" thickBot="1" x14ac:dyDescent="0.3">
      <c r="E198" s="15"/>
      <c r="F198" s="474" t="s">
        <v>730</v>
      </c>
      <c r="G198" s="412"/>
      <c r="H198" s="862"/>
      <c r="I198" s="539"/>
      <c r="J198" s="755"/>
      <c r="K198" s="721"/>
      <c r="L198" s="482"/>
      <c r="M198" s="532"/>
      <c r="N198" s="533"/>
      <c r="O198" s="480"/>
      <c r="P198" s="534"/>
      <c r="Q198" s="316"/>
      <c r="R198" s="535"/>
      <c r="S198" s="168"/>
      <c r="T198" s="1000"/>
    </row>
    <row r="199" spans="5:20" ht="15.75" thickBot="1" x14ac:dyDescent="0.3">
      <c r="E199" s="15"/>
      <c r="F199" s="129"/>
      <c r="G199" s="6"/>
      <c r="H199" s="860"/>
      <c r="I199" s="128"/>
      <c r="J199" s="734"/>
      <c r="K199" s="719"/>
      <c r="L199" s="132"/>
      <c r="M199" s="30"/>
      <c r="N199" s="527"/>
      <c r="O199" s="28"/>
      <c r="P199" s="8"/>
      <c r="Q199" s="37"/>
      <c r="R199" s="123"/>
      <c r="S199" s="168"/>
      <c r="T199" s="1000"/>
    </row>
    <row r="200" spans="5:20" ht="15" customHeight="1" x14ac:dyDescent="0.25">
      <c r="E200" s="518">
        <v>17</v>
      </c>
      <c r="F200" s="468" t="s">
        <v>648</v>
      </c>
      <c r="G200" s="405">
        <v>23</v>
      </c>
      <c r="H200" s="853" t="s">
        <v>671</v>
      </c>
      <c r="I200" s="299">
        <v>9360736506</v>
      </c>
      <c r="J200" s="778" t="s">
        <v>703</v>
      </c>
      <c r="K200" s="714">
        <v>45885</v>
      </c>
      <c r="L200" s="452" t="s">
        <v>72</v>
      </c>
      <c r="M200" s="407"/>
      <c r="N200" s="528" t="s">
        <v>61</v>
      </c>
      <c r="O200" s="165" t="s">
        <v>638</v>
      </c>
      <c r="P200" s="380" t="s">
        <v>640</v>
      </c>
      <c r="Q200" s="338" t="s">
        <v>649</v>
      </c>
      <c r="R200" s="529"/>
      <c r="S200" s="168"/>
      <c r="T200" s="1005" t="s">
        <v>890</v>
      </c>
    </row>
    <row r="201" spans="5:20" ht="18" customHeight="1" x14ac:dyDescent="0.25">
      <c r="E201" s="102"/>
      <c r="F201" s="472" t="s">
        <v>731</v>
      </c>
      <c r="G201" s="40">
        <v>24</v>
      </c>
      <c r="H201" s="844" t="s">
        <v>672</v>
      </c>
      <c r="I201" s="75">
        <v>9359280331</v>
      </c>
      <c r="J201" s="756" t="s">
        <v>559</v>
      </c>
      <c r="K201" s="715">
        <v>45677</v>
      </c>
      <c r="L201" s="50" t="s">
        <v>72</v>
      </c>
      <c r="M201" s="16"/>
      <c r="N201" s="180" t="s">
        <v>61</v>
      </c>
      <c r="O201" s="165" t="s">
        <v>903</v>
      </c>
      <c r="P201" s="165" t="s">
        <v>640</v>
      </c>
      <c r="Q201" s="18" t="s">
        <v>649</v>
      </c>
      <c r="R201" s="540"/>
      <c r="S201" s="168"/>
      <c r="T201" s="1005" t="s">
        <v>890</v>
      </c>
    </row>
    <row r="202" spans="5:20" ht="15.75" thickBot="1" x14ac:dyDescent="0.3">
      <c r="E202" s="6"/>
      <c r="F202" s="474" t="s">
        <v>756</v>
      </c>
      <c r="G202" s="412"/>
      <c r="H202" s="863"/>
      <c r="I202" s="541"/>
      <c r="J202" s="737"/>
      <c r="K202" s="722"/>
      <c r="L202" s="542" t="s">
        <v>27</v>
      </c>
      <c r="M202" s="443" t="s">
        <v>650</v>
      </c>
      <c r="N202" s="543"/>
      <c r="O202" s="544"/>
      <c r="P202" s="545"/>
      <c r="Q202" s="546"/>
      <c r="R202" s="547"/>
      <c r="S202" s="168"/>
      <c r="T202" s="1000"/>
    </row>
    <row r="203" spans="5:20" ht="15.75" thickBot="1" x14ac:dyDescent="0.3">
      <c r="E203" s="6"/>
      <c r="F203" s="129"/>
      <c r="G203" s="6"/>
      <c r="H203" s="859"/>
      <c r="I203" s="510"/>
      <c r="J203" s="733"/>
      <c r="K203" s="729"/>
      <c r="L203" s="132"/>
      <c r="M203" s="30"/>
      <c r="N203" s="527"/>
      <c r="O203" s="28"/>
      <c r="P203" s="8"/>
      <c r="Q203" s="37"/>
      <c r="R203" s="123"/>
      <c r="S203" s="168"/>
      <c r="T203" s="1000"/>
    </row>
    <row r="204" spans="5:20" x14ac:dyDescent="0.25">
      <c r="E204" s="518">
        <v>18</v>
      </c>
      <c r="F204" s="548" t="s">
        <v>58</v>
      </c>
      <c r="G204" s="405">
        <v>25</v>
      </c>
      <c r="H204" s="847" t="s">
        <v>769</v>
      </c>
      <c r="I204" s="125">
        <v>9914093742</v>
      </c>
      <c r="J204" s="715" t="s">
        <v>770</v>
      </c>
      <c r="K204" s="720">
        <v>45671</v>
      </c>
      <c r="L204" s="549" t="s">
        <v>18</v>
      </c>
      <c r="M204" s="550" t="s">
        <v>19</v>
      </c>
      <c r="N204" s="303" t="s">
        <v>61</v>
      </c>
      <c r="O204" s="337" t="s">
        <v>436</v>
      </c>
      <c r="P204" s="300">
        <v>48717</v>
      </c>
      <c r="Q204" s="338">
        <v>10</v>
      </c>
      <c r="R204" s="308">
        <v>10</v>
      </c>
      <c r="S204" s="168"/>
      <c r="T204" s="1006" t="s">
        <v>893</v>
      </c>
    </row>
    <row r="205" spans="5:20" ht="26.25" thickBot="1" x14ac:dyDescent="0.3">
      <c r="E205" s="101"/>
      <c r="F205" s="294" t="s">
        <v>732</v>
      </c>
      <c r="G205" s="40">
        <v>26</v>
      </c>
      <c r="H205" s="851" t="s">
        <v>832</v>
      </c>
      <c r="I205" s="315" t="s">
        <v>62</v>
      </c>
      <c r="J205" s="786" t="s">
        <v>842</v>
      </c>
      <c r="K205" s="751">
        <v>47136</v>
      </c>
      <c r="L205" s="223" t="s">
        <v>26</v>
      </c>
      <c r="M205" s="59" t="s">
        <v>43</v>
      </c>
      <c r="N205" s="60" t="s">
        <v>25</v>
      </c>
      <c r="O205" s="20" t="s">
        <v>63</v>
      </c>
      <c r="P205" s="39">
        <v>45845</v>
      </c>
      <c r="Q205" s="18">
        <v>4</v>
      </c>
      <c r="R205" s="311">
        <v>4</v>
      </c>
      <c r="S205" s="145"/>
      <c r="T205" s="1006" t="s">
        <v>886</v>
      </c>
    </row>
    <row r="206" spans="5:20" x14ac:dyDescent="0.25">
      <c r="E206" s="101"/>
      <c r="F206" s="411" t="s">
        <v>733</v>
      </c>
      <c r="G206" s="40">
        <v>27</v>
      </c>
      <c r="H206" s="962" t="s">
        <v>77</v>
      </c>
      <c r="I206" s="126">
        <v>9561363028</v>
      </c>
      <c r="J206" s="779" t="s">
        <v>698</v>
      </c>
      <c r="K206" s="715">
        <v>46972</v>
      </c>
      <c r="L206" s="223" t="s">
        <v>26</v>
      </c>
      <c r="M206" s="60" t="s">
        <v>66</v>
      </c>
      <c r="N206" s="60" t="s">
        <v>25</v>
      </c>
      <c r="O206" s="61">
        <v>5571013</v>
      </c>
      <c r="P206" s="39">
        <v>48723</v>
      </c>
      <c r="Q206" s="18">
        <v>5</v>
      </c>
      <c r="R206" s="311">
        <v>5</v>
      </c>
      <c r="S206" s="145"/>
      <c r="T206" s="1006" t="s">
        <v>886</v>
      </c>
    </row>
    <row r="207" spans="5:20" x14ac:dyDescent="0.25">
      <c r="E207" s="101"/>
      <c r="F207" s="295"/>
      <c r="G207" s="17">
        <v>28</v>
      </c>
      <c r="H207" s="957" t="s">
        <v>81</v>
      </c>
      <c r="I207" s="126">
        <v>9066875828</v>
      </c>
      <c r="J207" s="779" t="s">
        <v>582</v>
      </c>
      <c r="K207" s="715">
        <v>46972</v>
      </c>
      <c r="L207" s="223" t="s">
        <v>26</v>
      </c>
      <c r="M207" s="59" t="s">
        <v>19</v>
      </c>
      <c r="N207" s="60" t="s">
        <v>25</v>
      </c>
      <c r="O207" s="264" t="s">
        <v>792</v>
      </c>
      <c r="P207" s="39">
        <v>46027</v>
      </c>
      <c r="Q207" s="18">
        <v>4</v>
      </c>
      <c r="R207" s="311">
        <v>4</v>
      </c>
      <c r="S207" s="145"/>
      <c r="T207" s="1006" t="s">
        <v>892</v>
      </c>
    </row>
    <row r="208" spans="5:20" ht="26.25" thickBot="1" x14ac:dyDescent="0.3">
      <c r="E208" s="101"/>
      <c r="F208" s="296"/>
      <c r="G208" s="972">
        <v>29</v>
      </c>
      <c r="H208" s="973" t="s">
        <v>495</v>
      </c>
      <c r="I208" s="771">
        <v>9553585028</v>
      </c>
      <c r="J208" s="974" t="s">
        <v>603</v>
      </c>
      <c r="K208" s="737">
        <v>46972</v>
      </c>
      <c r="L208" s="551" t="s">
        <v>27</v>
      </c>
      <c r="M208" s="552"/>
      <c r="N208" s="319"/>
      <c r="O208" s="320"/>
      <c r="P208" s="321"/>
      <c r="Q208" s="322"/>
      <c r="R208" s="323"/>
      <c r="S208" s="145"/>
      <c r="T208" s="1000"/>
    </row>
    <row r="209" spans="5:20" ht="15.75" thickBot="1" x14ac:dyDescent="0.3">
      <c r="E209" s="101"/>
      <c r="F209" s="27"/>
      <c r="G209" s="433"/>
      <c r="H209" s="968"/>
      <c r="I209" s="769"/>
      <c r="J209" s="969"/>
      <c r="K209" s="733"/>
      <c r="L209" s="949"/>
      <c r="M209" s="949"/>
      <c r="N209" s="570"/>
      <c r="O209" s="438"/>
      <c r="P209" s="970"/>
      <c r="Q209" s="971"/>
      <c r="R209" s="438"/>
      <c r="S209" s="145"/>
      <c r="T209" s="1000"/>
    </row>
    <row r="210" spans="5:20" x14ac:dyDescent="0.25">
      <c r="E210" s="518">
        <v>19</v>
      </c>
      <c r="F210" s="548" t="s">
        <v>71</v>
      </c>
      <c r="G210" s="40">
        <v>30</v>
      </c>
      <c r="H210" s="964" t="s">
        <v>383</v>
      </c>
      <c r="I210" s="150" t="s">
        <v>384</v>
      </c>
      <c r="J210" s="224" t="s">
        <v>580</v>
      </c>
      <c r="K210" s="224">
        <v>46972</v>
      </c>
      <c r="L210" s="965" t="s">
        <v>72</v>
      </c>
      <c r="M210" s="944" t="s">
        <v>19</v>
      </c>
      <c r="N210" s="57" t="s">
        <v>61</v>
      </c>
      <c r="O210" s="34" t="s">
        <v>236</v>
      </c>
      <c r="P210" s="176">
        <v>48717</v>
      </c>
      <c r="Q210" s="45">
        <v>9</v>
      </c>
      <c r="R210" s="582">
        <v>9</v>
      </c>
      <c r="S210" s="145"/>
      <c r="T210" s="1005" t="s">
        <v>893</v>
      </c>
    </row>
    <row r="211" spans="5:20" ht="25.5" x14ac:dyDescent="0.25">
      <c r="E211" s="101"/>
      <c r="F211" s="294" t="s">
        <v>734</v>
      </c>
      <c r="G211" s="40">
        <v>31</v>
      </c>
      <c r="H211" s="847" t="s">
        <v>512</v>
      </c>
      <c r="I211" s="125">
        <v>9066790367</v>
      </c>
      <c r="J211" s="126" t="s">
        <v>513</v>
      </c>
      <c r="K211" s="717">
        <v>45767</v>
      </c>
      <c r="L211" s="223" t="s">
        <v>26</v>
      </c>
      <c r="M211" s="60" t="s">
        <v>43</v>
      </c>
      <c r="N211" s="60" t="s">
        <v>25</v>
      </c>
      <c r="O211" s="20" t="s">
        <v>74</v>
      </c>
      <c r="P211" s="39">
        <v>45695</v>
      </c>
      <c r="Q211" s="18">
        <v>8</v>
      </c>
      <c r="R211" s="311">
        <v>8</v>
      </c>
      <c r="S211" s="145"/>
      <c r="T211" s="1006" t="s">
        <v>892</v>
      </c>
    </row>
    <row r="212" spans="5:20" x14ac:dyDescent="0.25">
      <c r="E212" s="101"/>
      <c r="F212" s="411" t="s">
        <v>757</v>
      </c>
      <c r="G212" s="40">
        <v>32</v>
      </c>
      <c r="H212" s="963" t="s">
        <v>67</v>
      </c>
      <c r="I212" s="127" t="s">
        <v>68</v>
      </c>
      <c r="J212" s="939" t="s">
        <v>830</v>
      </c>
      <c r="K212" s="905">
        <v>46972</v>
      </c>
      <c r="L212" s="223" t="s">
        <v>26</v>
      </c>
      <c r="M212" s="60" t="s">
        <v>43</v>
      </c>
      <c r="N212" s="60" t="s">
        <v>25</v>
      </c>
      <c r="O212" s="20" t="s">
        <v>75</v>
      </c>
      <c r="P212" s="39">
        <v>45845</v>
      </c>
      <c r="Q212" s="18">
        <v>8</v>
      </c>
      <c r="R212" s="311">
        <v>8</v>
      </c>
      <c r="S212" s="145"/>
      <c r="T212" s="1006" t="s">
        <v>886</v>
      </c>
    </row>
    <row r="213" spans="5:20" ht="15.75" thickBot="1" x14ac:dyDescent="0.3">
      <c r="E213" s="101"/>
      <c r="F213" s="296"/>
      <c r="G213" s="412"/>
      <c r="H213" s="959"/>
      <c r="I213" s="904"/>
      <c r="J213" s="960"/>
      <c r="K213" s="939"/>
      <c r="L213" s="551" t="s">
        <v>27</v>
      </c>
      <c r="M213" s="319"/>
      <c r="N213" s="319"/>
      <c r="O213" s="320"/>
      <c r="P213" s="321"/>
      <c r="Q213" s="322">
        <v>1</v>
      </c>
      <c r="R213" s="323">
        <v>1</v>
      </c>
      <c r="S213" s="145"/>
      <c r="T213" s="1000"/>
    </row>
    <row r="214" spans="5:20" ht="15.75" thickBot="1" x14ac:dyDescent="0.3">
      <c r="E214" s="101"/>
      <c r="F214" s="27"/>
      <c r="G214" s="6"/>
      <c r="H214" s="961"/>
      <c r="I214" s="355"/>
      <c r="J214" s="948"/>
      <c r="K214" s="948"/>
      <c r="L214" s="62"/>
      <c r="M214" s="63"/>
      <c r="N214" s="63"/>
      <c r="O214" s="46"/>
      <c r="P214" s="8"/>
      <c r="Q214" s="37"/>
      <c r="R214" s="46"/>
      <c r="S214" s="145"/>
      <c r="T214" s="1000"/>
    </row>
    <row r="215" spans="5:20" x14ac:dyDescent="0.25">
      <c r="E215" s="518">
        <v>20</v>
      </c>
      <c r="F215" s="404" t="s">
        <v>76</v>
      </c>
      <c r="G215" s="405">
        <v>33</v>
      </c>
      <c r="H215" s="106" t="s">
        <v>870</v>
      </c>
      <c r="I215" s="125">
        <v>9753549727</v>
      </c>
      <c r="J215" s="126" t="s">
        <v>829</v>
      </c>
      <c r="K215" s="717">
        <v>47364</v>
      </c>
      <c r="L215" s="70" t="s">
        <v>72</v>
      </c>
      <c r="M215" s="70" t="s">
        <v>19</v>
      </c>
      <c r="N215" s="92" t="s">
        <v>61</v>
      </c>
      <c r="O215" s="165" t="s">
        <v>627</v>
      </c>
      <c r="P215" s="211">
        <v>48732</v>
      </c>
      <c r="Q215" s="92">
        <v>10</v>
      </c>
      <c r="R215" s="583" t="s">
        <v>930</v>
      </c>
      <c r="S215" s="145"/>
      <c r="T215" s="1006" t="s">
        <v>890</v>
      </c>
    </row>
    <row r="216" spans="5:20" x14ac:dyDescent="0.25">
      <c r="E216" s="102"/>
      <c r="F216" s="295" t="s">
        <v>735</v>
      </c>
      <c r="G216" s="17">
        <v>34</v>
      </c>
      <c r="H216" s="1072" t="s">
        <v>385</v>
      </c>
      <c r="I216" s="1073" t="s">
        <v>386</v>
      </c>
      <c r="J216" s="151" t="s">
        <v>469</v>
      </c>
      <c r="K216" s="718">
        <v>45842</v>
      </c>
      <c r="L216" s="223" t="s">
        <v>26</v>
      </c>
      <c r="M216" s="60" t="s">
        <v>19</v>
      </c>
      <c r="N216" s="60" t="s">
        <v>25</v>
      </c>
      <c r="O216" s="20">
        <v>983619</v>
      </c>
      <c r="P216" s="39">
        <v>47020</v>
      </c>
      <c r="Q216" s="18">
        <v>4</v>
      </c>
      <c r="R216" s="311">
        <v>5</v>
      </c>
      <c r="S216" s="145"/>
      <c r="T216" s="1006" t="s">
        <v>891</v>
      </c>
    </row>
    <row r="217" spans="5:20" ht="25.5" x14ac:dyDescent="0.25">
      <c r="E217" s="101"/>
      <c r="F217" s="411" t="s">
        <v>758</v>
      </c>
      <c r="G217" s="40">
        <v>35</v>
      </c>
      <c r="H217" s="959" t="s">
        <v>536</v>
      </c>
      <c r="I217" s="904">
        <v>9462482464</v>
      </c>
      <c r="J217" s="960" t="s">
        <v>537</v>
      </c>
      <c r="K217" s="939">
        <v>46102</v>
      </c>
      <c r="L217" s="223" t="s">
        <v>26</v>
      </c>
      <c r="M217" s="60" t="s">
        <v>19</v>
      </c>
      <c r="N217" s="60" t="s">
        <v>25</v>
      </c>
      <c r="O217" s="145">
        <v>873574</v>
      </c>
      <c r="P217" s="39">
        <v>48717</v>
      </c>
      <c r="Q217" s="18">
        <v>5</v>
      </c>
      <c r="R217" s="311">
        <v>10</v>
      </c>
      <c r="S217" s="145"/>
      <c r="T217" s="1005" t="s">
        <v>890</v>
      </c>
    </row>
    <row r="218" spans="5:20" x14ac:dyDescent="0.25">
      <c r="E218" s="101"/>
      <c r="F218" s="295"/>
      <c r="G218" s="17"/>
      <c r="H218" s="866"/>
      <c r="I218" s="219"/>
      <c r="J218" s="958"/>
      <c r="K218" s="956"/>
      <c r="L218" s="223" t="s">
        <v>27</v>
      </c>
      <c r="M218" s="60"/>
      <c r="N218" s="60"/>
      <c r="O218" s="20"/>
      <c r="P218" s="39"/>
      <c r="Q218" s="18">
        <v>1</v>
      </c>
      <c r="R218" s="311"/>
      <c r="S218" s="145"/>
      <c r="T218" s="1000"/>
    </row>
    <row r="219" spans="5:20" ht="15.75" thickBot="1" x14ac:dyDescent="0.3">
      <c r="E219" s="101"/>
      <c r="F219" s="296"/>
      <c r="G219" s="412"/>
      <c r="H219" s="851"/>
      <c r="I219" s="481"/>
      <c r="J219" s="744"/>
      <c r="K219" s="722"/>
      <c r="L219" s="551" t="s">
        <v>620</v>
      </c>
      <c r="M219" s="319"/>
      <c r="N219" s="319"/>
      <c r="O219" s="320"/>
      <c r="P219" s="321"/>
      <c r="Q219" s="322">
        <v>1</v>
      </c>
      <c r="R219" s="323">
        <v>1</v>
      </c>
      <c r="S219" s="145"/>
      <c r="T219" s="1000"/>
    </row>
    <row r="220" spans="5:20" ht="15.75" thickBot="1" x14ac:dyDescent="0.3">
      <c r="E220" s="101"/>
      <c r="F220" s="27"/>
      <c r="G220" s="6"/>
      <c r="H220" s="846"/>
      <c r="I220" s="123"/>
      <c r="J220" s="734"/>
      <c r="K220" s="719"/>
      <c r="L220" s="62"/>
      <c r="M220" s="63"/>
      <c r="N220" s="63"/>
      <c r="O220" s="46"/>
      <c r="P220" s="8"/>
      <c r="Q220" s="37"/>
      <c r="R220" s="46"/>
      <c r="S220" s="145"/>
      <c r="T220" s="1000"/>
    </row>
    <row r="221" spans="5:20" ht="12.75" customHeight="1" x14ac:dyDescent="0.25">
      <c r="E221" s="518">
        <v>21</v>
      </c>
      <c r="F221" s="557" t="s">
        <v>80</v>
      </c>
      <c r="G221" s="405">
        <v>36</v>
      </c>
      <c r="H221" s="843" t="s">
        <v>82</v>
      </c>
      <c r="I221" s="553" t="s">
        <v>83</v>
      </c>
      <c r="J221" s="422" t="s">
        <v>579</v>
      </c>
      <c r="K221" s="767">
        <v>46972</v>
      </c>
      <c r="L221" s="549" t="s">
        <v>39</v>
      </c>
      <c r="M221" s="303" t="s">
        <v>19</v>
      </c>
      <c r="N221" s="303" t="s">
        <v>40</v>
      </c>
      <c r="O221" s="337">
        <v>924792</v>
      </c>
      <c r="P221" s="306">
        <v>48723</v>
      </c>
      <c r="Q221" s="307">
        <v>10</v>
      </c>
      <c r="R221" s="308">
        <v>10</v>
      </c>
      <c r="S221" s="145"/>
      <c r="T221" s="1006" t="s">
        <v>886</v>
      </c>
    </row>
    <row r="222" spans="5:20" ht="13.5" customHeight="1" x14ac:dyDescent="0.25">
      <c r="E222" s="101"/>
      <c r="F222" s="348" t="s">
        <v>736</v>
      </c>
      <c r="G222" s="40">
        <v>37</v>
      </c>
      <c r="H222" s="957" t="s">
        <v>583</v>
      </c>
      <c r="I222" s="126">
        <v>9702648934</v>
      </c>
      <c r="J222" s="779" t="s">
        <v>635</v>
      </c>
      <c r="K222" s="715">
        <v>46918</v>
      </c>
      <c r="L222" s="223" t="s">
        <v>26</v>
      </c>
      <c r="M222" s="60" t="s">
        <v>19</v>
      </c>
      <c r="N222" s="67" t="s">
        <v>25</v>
      </c>
      <c r="O222" s="947" t="s">
        <v>860</v>
      </c>
      <c r="P222" s="95">
        <v>48717</v>
      </c>
      <c r="Q222" s="25">
        <v>10</v>
      </c>
      <c r="R222" s="311">
        <v>10</v>
      </c>
      <c r="S222" s="145"/>
      <c r="T222" s="1005" t="s">
        <v>895</v>
      </c>
    </row>
    <row r="223" spans="5:20" ht="21" customHeight="1" x14ac:dyDescent="0.25">
      <c r="E223" s="101"/>
      <c r="F223" s="558" t="s">
        <v>759</v>
      </c>
      <c r="G223" s="17"/>
      <c r="H223" s="903"/>
      <c r="I223" s="127"/>
      <c r="J223" s="126"/>
      <c r="K223" s="717"/>
      <c r="L223" s="223" t="s">
        <v>27</v>
      </c>
      <c r="M223" s="60"/>
      <c r="N223" s="60"/>
      <c r="O223" s="20"/>
      <c r="P223" s="39"/>
      <c r="Q223" s="18">
        <v>1</v>
      </c>
      <c r="R223" s="311">
        <v>1</v>
      </c>
      <c r="S223" s="145"/>
      <c r="T223" s="1000"/>
    </row>
    <row r="224" spans="5:20" ht="15.75" thickBot="1" x14ac:dyDescent="0.3">
      <c r="E224" s="101"/>
      <c r="F224" s="349"/>
      <c r="G224" s="412"/>
      <c r="H224" s="845"/>
      <c r="I224" s="413"/>
      <c r="J224" s="769"/>
      <c r="K224" s="725"/>
      <c r="L224" s="551" t="s">
        <v>620</v>
      </c>
      <c r="M224" s="319"/>
      <c r="N224" s="319"/>
      <c r="O224" s="320"/>
      <c r="P224" s="321"/>
      <c r="Q224" s="322">
        <v>1</v>
      </c>
      <c r="R224" s="323">
        <v>1</v>
      </c>
      <c r="S224" s="145"/>
      <c r="T224" s="1000"/>
    </row>
    <row r="225" spans="5:22" ht="15.75" thickBot="1" x14ac:dyDescent="0.3">
      <c r="E225" s="101"/>
      <c r="F225" s="66"/>
      <c r="G225" s="6"/>
      <c r="H225" s="846"/>
      <c r="I225" s="123"/>
      <c r="J225" s="122"/>
      <c r="K225" s="719"/>
      <c r="L225" s="62"/>
      <c r="M225" s="63"/>
      <c r="N225" s="63"/>
      <c r="O225" s="46"/>
      <c r="P225" s="8"/>
      <c r="Q225" s="37"/>
      <c r="R225" s="46"/>
      <c r="S225" s="145"/>
      <c r="T225" s="1000"/>
    </row>
    <row r="226" spans="5:22" ht="27" customHeight="1" x14ac:dyDescent="0.25">
      <c r="E226" s="518">
        <v>22</v>
      </c>
      <c r="F226" s="560" t="s">
        <v>84</v>
      </c>
      <c r="G226" s="405">
        <v>38</v>
      </c>
      <c r="H226" s="843" t="s">
        <v>85</v>
      </c>
      <c r="I226" s="299" t="s">
        <v>86</v>
      </c>
      <c r="J226" s="723" t="s">
        <v>884</v>
      </c>
      <c r="K226" s="723">
        <v>47149</v>
      </c>
      <c r="L226" s="561" t="s">
        <v>18</v>
      </c>
      <c r="M226" s="303" t="s">
        <v>19</v>
      </c>
      <c r="N226" s="562" t="s">
        <v>20</v>
      </c>
      <c r="O226" s="298">
        <v>1073213</v>
      </c>
      <c r="P226" s="306">
        <v>48723</v>
      </c>
      <c r="Q226" s="307">
        <v>12</v>
      </c>
      <c r="R226" s="308" t="s">
        <v>446</v>
      </c>
      <c r="S226" s="145"/>
      <c r="T226" s="1005" t="s">
        <v>886</v>
      </c>
    </row>
    <row r="227" spans="5:22" ht="23.25" customHeight="1" x14ac:dyDescent="0.25">
      <c r="E227" s="101"/>
      <c r="F227" s="563" t="s">
        <v>87</v>
      </c>
      <c r="G227" s="17">
        <v>39</v>
      </c>
      <c r="H227" s="24" t="s">
        <v>90</v>
      </c>
      <c r="I227" s="125" t="s">
        <v>91</v>
      </c>
      <c r="J227" s="126" t="s">
        <v>881</v>
      </c>
      <c r="K227" s="939">
        <v>47148</v>
      </c>
      <c r="L227" s="59" t="s">
        <v>26</v>
      </c>
      <c r="M227" s="60" t="s">
        <v>19</v>
      </c>
      <c r="N227" s="115" t="s">
        <v>25</v>
      </c>
      <c r="O227" s="19">
        <v>6551003</v>
      </c>
      <c r="P227" s="95">
        <v>46913</v>
      </c>
      <c r="Q227" s="25">
        <v>12</v>
      </c>
      <c r="R227" s="311">
        <v>12</v>
      </c>
      <c r="S227" s="145"/>
      <c r="T227" s="1006" t="s">
        <v>886</v>
      </c>
    </row>
    <row r="228" spans="5:22" ht="14.25" customHeight="1" x14ac:dyDescent="0.25">
      <c r="E228" s="101"/>
      <c r="F228" s="558" t="s">
        <v>737</v>
      </c>
      <c r="G228" s="17">
        <v>40</v>
      </c>
      <c r="H228" s="915" t="s">
        <v>501</v>
      </c>
      <c r="I228" s="916">
        <v>9914525393</v>
      </c>
      <c r="J228" s="917" t="s">
        <v>882</v>
      </c>
      <c r="K228" s="918">
        <v>47346</v>
      </c>
      <c r="L228" s="59" t="s">
        <v>26</v>
      </c>
      <c r="M228" s="60" t="s">
        <v>24</v>
      </c>
      <c r="N228" s="115" t="s">
        <v>25</v>
      </c>
      <c r="O228" s="182">
        <v>6550995</v>
      </c>
      <c r="P228" s="205">
        <v>48723</v>
      </c>
      <c r="Q228" s="121">
        <v>12</v>
      </c>
      <c r="R228" s="350">
        <v>12</v>
      </c>
      <c r="S228" s="145"/>
      <c r="T228" s="1006" t="s">
        <v>886</v>
      </c>
    </row>
    <row r="229" spans="5:22" ht="15.75" thickBot="1" x14ac:dyDescent="0.3">
      <c r="E229" s="101"/>
      <c r="F229" s="348"/>
      <c r="G229" s="40">
        <v>41</v>
      </c>
      <c r="H229" s="945" t="s">
        <v>266</v>
      </c>
      <c r="I229" s="771" t="s">
        <v>267</v>
      </c>
      <c r="J229" s="945" t="s">
        <v>883</v>
      </c>
      <c r="K229" s="946">
        <v>47377</v>
      </c>
      <c r="L229" s="551" t="s">
        <v>27</v>
      </c>
      <c r="M229" s="319"/>
      <c r="N229" s="941"/>
      <c r="O229" s="441"/>
      <c r="P229" s="321"/>
      <c r="Q229" s="322"/>
      <c r="R229" s="323"/>
      <c r="S229" s="195"/>
      <c r="T229" s="1006"/>
    </row>
    <row r="230" spans="5:22" ht="12.75" customHeight="1" thickBot="1" x14ac:dyDescent="0.3">
      <c r="E230" s="101"/>
      <c r="F230" s="348"/>
      <c r="G230" s="405">
        <v>42</v>
      </c>
      <c r="H230" s="44" t="s">
        <v>926</v>
      </c>
      <c r="I230" s="127">
        <v>9671498640</v>
      </c>
      <c r="J230" s="904" t="s">
        <v>927</v>
      </c>
      <c r="K230" s="939">
        <v>47148</v>
      </c>
      <c r="L230" s="944" t="s">
        <v>26</v>
      </c>
      <c r="M230" s="57" t="s">
        <v>19</v>
      </c>
      <c r="N230" s="837" t="s">
        <v>25</v>
      </c>
      <c r="O230" s="33" t="s">
        <v>833</v>
      </c>
      <c r="P230" s="176">
        <v>45845</v>
      </c>
      <c r="Q230" s="45">
        <v>12</v>
      </c>
      <c r="R230" s="582">
        <v>12</v>
      </c>
      <c r="S230" s="942" t="s">
        <v>352</v>
      </c>
      <c r="T230" s="1006" t="s">
        <v>886</v>
      </c>
    </row>
    <row r="231" spans="5:22" ht="11.25" customHeight="1" thickBot="1" x14ac:dyDescent="0.3">
      <c r="E231" s="101"/>
      <c r="F231" s="349"/>
      <c r="G231" s="405">
        <v>43</v>
      </c>
      <c r="H231" s="940" t="s">
        <v>916</v>
      </c>
      <c r="I231" s="320">
        <v>9128181558</v>
      </c>
      <c r="J231" s="757" t="s">
        <v>917</v>
      </c>
      <c r="K231" s="737">
        <v>47495</v>
      </c>
      <c r="L231" s="552" t="s">
        <v>26</v>
      </c>
      <c r="M231" s="319" t="s">
        <v>19</v>
      </c>
      <c r="N231" s="941" t="s">
        <v>25</v>
      </c>
      <c r="O231" s="165" t="s">
        <v>626</v>
      </c>
      <c r="P231" s="211">
        <v>48745</v>
      </c>
      <c r="Q231" s="322">
        <v>12</v>
      </c>
      <c r="R231" s="323">
        <v>12</v>
      </c>
      <c r="S231" s="943" t="s">
        <v>453</v>
      </c>
      <c r="T231" s="1006" t="s">
        <v>890</v>
      </c>
    </row>
    <row r="232" spans="5:22" ht="26.25" thickBot="1" x14ac:dyDescent="0.3">
      <c r="E232" s="101"/>
      <c r="F232" s="518">
        <v>43</v>
      </c>
      <c r="G232" s="213" t="s">
        <v>533</v>
      </c>
      <c r="H232" s="1068">
        <v>121</v>
      </c>
      <c r="I232" s="712" t="s">
        <v>311</v>
      </c>
      <c r="J232" s="125" t="s">
        <v>312</v>
      </c>
      <c r="K232" s="126" t="s">
        <v>313</v>
      </c>
      <c r="L232" s="718">
        <v>45495</v>
      </c>
      <c r="M232" s="91" t="s">
        <v>309</v>
      </c>
      <c r="N232" s="92" t="s">
        <v>198</v>
      </c>
      <c r="O232" s="92" t="s">
        <v>25</v>
      </c>
      <c r="P232" s="184">
        <v>983718</v>
      </c>
      <c r="Q232" s="208" t="s">
        <v>456</v>
      </c>
      <c r="R232" s="92">
        <v>24</v>
      </c>
      <c r="S232" s="92">
        <v>24</v>
      </c>
      <c r="T232" s="145"/>
      <c r="U232" s="1006" t="s">
        <v>891</v>
      </c>
      <c r="V232" s="58"/>
    </row>
    <row r="233" spans="5:22" ht="15.75" thickBot="1" x14ac:dyDescent="0.3">
      <c r="F233" s="40"/>
      <c r="G233" s="153" t="s">
        <v>514</v>
      </c>
      <c r="H233" s="1068">
        <v>122</v>
      </c>
      <c r="I233" s="712" t="s">
        <v>314</v>
      </c>
      <c r="J233" s="125" t="s">
        <v>315</v>
      </c>
      <c r="K233" s="217" t="s">
        <v>316</v>
      </c>
      <c r="L233" s="715" t="s">
        <v>317</v>
      </c>
      <c r="M233" s="91" t="s">
        <v>23</v>
      </c>
      <c r="N233" s="92" t="s">
        <v>231</v>
      </c>
      <c r="O233" s="92" t="s">
        <v>176</v>
      </c>
      <c r="P233" s="92">
        <v>919670</v>
      </c>
      <c r="Q233" s="208">
        <v>46913</v>
      </c>
      <c r="R233" s="92"/>
      <c r="S233" s="92">
        <v>5</v>
      </c>
      <c r="T233" s="145"/>
      <c r="U233" s="1006" t="s">
        <v>886</v>
      </c>
      <c r="V233" s="58"/>
    </row>
    <row r="234" spans="5:22" ht="39" thickBot="1" x14ac:dyDescent="0.3">
      <c r="F234" s="17"/>
      <c r="G234" s="153"/>
      <c r="H234" s="1068">
        <v>123</v>
      </c>
      <c r="I234" s="877" t="s">
        <v>490</v>
      </c>
      <c r="J234" s="263">
        <v>9067266239</v>
      </c>
      <c r="K234" s="803" t="s">
        <v>563</v>
      </c>
      <c r="L234" s="758">
        <v>45891</v>
      </c>
      <c r="M234" s="91" t="s">
        <v>23</v>
      </c>
      <c r="N234" s="92" t="s">
        <v>231</v>
      </c>
      <c r="O234" s="92" t="s">
        <v>176</v>
      </c>
      <c r="P234" s="92">
        <v>5570977</v>
      </c>
      <c r="Q234" s="208">
        <v>46913</v>
      </c>
      <c r="R234" s="92"/>
      <c r="S234" s="92">
        <v>5</v>
      </c>
      <c r="T234" s="145"/>
      <c r="U234" s="1006" t="s">
        <v>886</v>
      </c>
      <c r="V234" s="58"/>
    </row>
    <row r="235" spans="5:22" ht="26.25" thickBot="1" x14ac:dyDescent="0.3">
      <c r="F235" s="104"/>
      <c r="G235" s="153"/>
      <c r="H235" s="1068">
        <v>124</v>
      </c>
      <c r="I235" s="877" t="s">
        <v>491</v>
      </c>
      <c r="J235" s="125">
        <v>9815260310</v>
      </c>
      <c r="K235" s="127" t="s">
        <v>521</v>
      </c>
      <c r="L235" s="715" t="s">
        <v>456</v>
      </c>
      <c r="M235" s="58"/>
      <c r="N235" s="58"/>
      <c r="O235" s="58"/>
      <c r="P235" s="58"/>
      <c r="Q235" s="145"/>
      <c r="R235" s="58"/>
      <c r="S235" s="58"/>
      <c r="T235" s="145"/>
      <c r="U235" s="1000"/>
      <c r="V235" s="58"/>
    </row>
    <row r="236" spans="5:22" ht="26.25" thickBot="1" x14ac:dyDescent="0.3">
      <c r="F236" s="101"/>
      <c r="G236" s="66"/>
      <c r="H236" s="1068">
        <v>125</v>
      </c>
      <c r="I236" s="847" t="s">
        <v>59</v>
      </c>
      <c r="J236" s="125" t="s">
        <v>60</v>
      </c>
      <c r="K236" s="808">
        <v>19949867</v>
      </c>
      <c r="L236" s="717">
        <v>45618</v>
      </c>
      <c r="M236" s="58"/>
      <c r="N236" s="58"/>
      <c r="O236" s="58"/>
      <c r="P236" s="58"/>
      <c r="Q236" s="145"/>
      <c r="R236" s="58"/>
      <c r="S236" s="58"/>
      <c r="T236" s="145"/>
      <c r="U236" s="1000"/>
      <c r="V236" s="58"/>
    </row>
    <row r="237" spans="5:22" ht="26.25" thickBot="1" x14ac:dyDescent="0.3">
      <c r="F237" s="518">
        <v>44</v>
      </c>
      <c r="G237" s="213" t="s">
        <v>530</v>
      </c>
      <c r="H237" s="1068">
        <v>126</v>
      </c>
      <c r="I237" s="710" t="s">
        <v>690</v>
      </c>
      <c r="J237" s="149">
        <v>9513832879</v>
      </c>
      <c r="K237" s="149" t="s">
        <v>37</v>
      </c>
      <c r="L237" s="718"/>
      <c r="M237" s="92" t="s">
        <v>23</v>
      </c>
      <c r="N237" s="92" t="s">
        <v>231</v>
      </c>
      <c r="O237" s="92" t="s">
        <v>176</v>
      </c>
      <c r="P237" s="92">
        <v>973500</v>
      </c>
      <c r="Q237" s="208">
        <v>47020</v>
      </c>
      <c r="R237" s="92"/>
      <c r="S237" s="92">
        <v>5</v>
      </c>
      <c r="T237" s="145"/>
      <c r="U237" s="1006" t="s">
        <v>891</v>
      </c>
      <c r="V237" s="58"/>
    </row>
    <row r="238" spans="5:22" ht="26.25" thickBot="1" x14ac:dyDescent="0.3">
      <c r="F238" s="101"/>
      <c r="G238" s="153" t="s">
        <v>514</v>
      </c>
      <c r="H238" s="1068">
        <v>127</v>
      </c>
      <c r="I238" s="710" t="s">
        <v>485</v>
      </c>
      <c r="J238" s="125">
        <v>9158404185</v>
      </c>
      <c r="K238" s="780" t="s">
        <v>487</v>
      </c>
      <c r="L238" s="718">
        <v>45508</v>
      </c>
      <c r="M238" s="92" t="s">
        <v>23</v>
      </c>
      <c r="N238" s="92" t="s">
        <v>231</v>
      </c>
      <c r="O238" s="92" t="s">
        <v>176</v>
      </c>
      <c r="P238" s="92">
        <v>1444924</v>
      </c>
      <c r="Q238" s="99">
        <v>45971</v>
      </c>
      <c r="R238" s="92"/>
      <c r="S238" s="92">
        <v>5</v>
      </c>
      <c r="T238" s="145"/>
      <c r="U238" s="1006" t="s">
        <v>892</v>
      </c>
      <c r="V238" s="58"/>
    </row>
    <row r="239" spans="5:22" ht="30.75" thickBot="1" x14ac:dyDescent="0.3">
      <c r="F239" s="17"/>
      <c r="G239" s="65"/>
      <c r="H239" s="1068">
        <v>128</v>
      </c>
      <c r="I239" s="878" t="s">
        <v>691</v>
      </c>
      <c r="J239" s="225">
        <v>9856332178</v>
      </c>
      <c r="K239" s="126" t="s">
        <v>502</v>
      </c>
      <c r="L239" s="715">
        <v>45983</v>
      </c>
      <c r="M239" s="92"/>
      <c r="N239" s="92"/>
      <c r="O239" s="92"/>
      <c r="P239" s="92"/>
      <c r="Q239" s="208"/>
      <c r="R239" s="92"/>
      <c r="S239" s="92"/>
      <c r="T239" s="145"/>
      <c r="U239" s="1000"/>
      <c r="V239" s="58"/>
    </row>
    <row r="240" spans="5:22" ht="26.25" thickBot="1" x14ac:dyDescent="0.3">
      <c r="F240" s="104"/>
      <c r="G240" s="66"/>
      <c r="H240" s="1068">
        <v>129</v>
      </c>
      <c r="I240" s="573" t="s">
        <v>343</v>
      </c>
      <c r="J240" s="149" t="s">
        <v>344</v>
      </c>
      <c r="K240" s="1094" t="s">
        <v>433</v>
      </c>
      <c r="L240" s="718">
        <v>45602</v>
      </c>
      <c r="M240" s="92"/>
      <c r="N240" s="92"/>
      <c r="O240" s="92"/>
      <c r="P240" s="92"/>
      <c r="Q240" s="208"/>
      <c r="R240" s="92"/>
      <c r="S240" s="92"/>
      <c r="T240" s="145"/>
      <c r="U240" s="1000"/>
      <c r="V240" s="58"/>
    </row>
    <row r="241" spans="6:22" ht="15.75" thickBot="1" x14ac:dyDescent="0.3">
      <c r="F241" s="101"/>
      <c r="G241" s="66"/>
      <c r="H241" s="919"/>
      <c r="I241" s="964"/>
      <c r="J241" s="1023"/>
      <c r="K241" s="1024"/>
      <c r="L241" s="1025"/>
      <c r="M241" s="58"/>
      <c r="N241" s="58"/>
      <c r="O241" s="58"/>
      <c r="P241" s="58"/>
      <c r="Q241" s="145"/>
      <c r="R241" s="58"/>
      <c r="S241" s="58"/>
      <c r="T241" s="145"/>
      <c r="U241" s="1000"/>
      <c r="V241" s="58"/>
    </row>
    <row r="242" spans="6:22" ht="26.25" thickBot="1" x14ac:dyDescent="0.3">
      <c r="F242" s="518">
        <v>46</v>
      </c>
      <c r="G242" s="213" t="s">
        <v>531</v>
      </c>
      <c r="H242" s="1067">
        <v>132</v>
      </c>
      <c r="I242" s="710" t="s">
        <v>322</v>
      </c>
      <c r="J242" s="149" t="s">
        <v>323</v>
      </c>
      <c r="K242" s="809" t="s">
        <v>324</v>
      </c>
      <c r="L242" s="718">
        <v>45312</v>
      </c>
      <c r="M242" s="92" t="s">
        <v>309</v>
      </c>
      <c r="N242" s="92" t="s">
        <v>198</v>
      </c>
      <c r="O242" s="92" t="s">
        <v>25</v>
      </c>
      <c r="P242" s="92">
        <v>1059939</v>
      </c>
      <c r="Q242" s="208">
        <v>46906</v>
      </c>
      <c r="R242" s="92"/>
      <c r="S242" s="92">
        <v>33</v>
      </c>
      <c r="T242" s="145"/>
      <c r="U242" s="1006" t="s">
        <v>890</v>
      </c>
      <c r="V242" s="58"/>
    </row>
    <row r="243" spans="6:22" ht="26.25" thickBot="1" x14ac:dyDescent="0.3">
      <c r="F243" s="101"/>
      <c r="G243" s="65" t="s">
        <v>514</v>
      </c>
      <c r="H243" s="1068">
        <v>133</v>
      </c>
      <c r="I243" s="879" t="s">
        <v>318</v>
      </c>
      <c r="J243" s="220">
        <v>9458525235</v>
      </c>
      <c r="K243" s="775"/>
      <c r="L243" s="759"/>
      <c r="M243" s="92" t="s">
        <v>309</v>
      </c>
      <c r="N243" s="92" t="s">
        <v>198</v>
      </c>
      <c r="O243" s="92" t="s">
        <v>25</v>
      </c>
      <c r="P243" s="13">
        <v>1067254</v>
      </c>
      <c r="Q243" s="208">
        <v>48723</v>
      </c>
      <c r="R243" s="92">
        <v>10</v>
      </c>
      <c r="S243" s="92">
        <v>10</v>
      </c>
      <c r="T243" s="145"/>
      <c r="U243" s="1006" t="s">
        <v>886</v>
      </c>
      <c r="V243" s="58"/>
    </row>
    <row r="244" spans="6:22" ht="26.25" thickBot="1" x14ac:dyDescent="0.3">
      <c r="F244" s="6"/>
      <c r="G244" s="66"/>
      <c r="H244" s="1068">
        <v>134</v>
      </c>
      <c r="I244" s="710" t="s">
        <v>333</v>
      </c>
      <c r="J244" s="149">
        <v>9638758556</v>
      </c>
      <c r="K244" s="809" t="s">
        <v>560</v>
      </c>
      <c r="L244" s="718">
        <v>46041</v>
      </c>
      <c r="M244" s="92" t="s">
        <v>309</v>
      </c>
      <c r="N244" s="92" t="s">
        <v>198</v>
      </c>
      <c r="O244" s="92" t="s">
        <v>25</v>
      </c>
      <c r="P244" s="69">
        <v>919682</v>
      </c>
      <c r="Q244" s="208">
        <v>48723</v>
      </c>
      <c r="R244" s="92">
        <v>10</v>
      </c>
      <c r="S244" s="92">
        <v>10</v>
      </c>
      <c r="T244" s="145"/>
      <c r="U244" s="1006" t="s">
        <v>886</v>
      </c>
      <c r="V244" s="58"/>
    </row>
    <row r="245" spans="6:22" ht="26.25" thickBot="1" x14ac:dyDescent="0.3">
      <c r="F245" s="101"/>
      <c r="G245" s="66"/>
      <c r="H245" s="1068">
        <v>135</v>
      </c>
      <c r="I245" s="882" t="s">
        <v>330</v>
      </c>
      <c r="J245" s="220" t="s">
        <v>331</v>
      </c>
      <c r="K245" s="220" t="s">
        <v>564</v>
      </c>
      <c r="L245" s="756">
        <v>45849</v>
      </c>
      <c r="M245" s="144" t="s">
        <v>102</v>
      </c>
      <c r="N245" s="144" t="s">
        <v>198</v>
      </c>
      <c r="O245" s="144">
        <v>0.38</v>
      </c>
      <c r="P245" s="210">
        <v>31612</v>
      </c>
      <c r="Q245" s="209">
        <v>46906</v>
      </c>
      <c r="R245" s="144">
        <v>5</v>
      </c>
      <c r="S245" s="144">
        <v>5</v>
      </c>
      <c r="T245" s="145"/>
      <c r="U245" s="1027" t="s">
        <v>890</v>
      </c>
      <c r="V245" s="145"/>
    </row>
    <row r="246" spans="6:22" ht="64.5" thickBot="1" x14ac:dyDescent="0.3">
      <c r="F246" s="518">
        <v>47</v>
      </c>
      <c r="G246" s="1059" t="s">
        <v>801</v>
      </c>
      <c r="H246" s="1068">
        <v>136</v>
      </c>
      <c r="I246" s="1037" t="s">
        <v>335</v>
      </c>
      <c r="J246" s="422">
        <v>9067288059</v>
      </c>
      <c r="K246" s="778" t="s">
        <v>440</v>
      </c>
      <c r="L246" s="716">
        <v>45137</v>
      </c>
      <c r="M246" s="614" t="s">
        <v>309</v>
      </c>
      <c r="N246" s="614" t="s">
        <v>198</v>
      </c>
      <c r="O246" s="614" t="s">
        <v>25</v>
      </c>
      <c r="P246" s="925" t="s">
        <v>812</v>
      </c>
      <c r="Q246" s="615">
        <v>47720</v>
      </c>
      <c r="R246" s="614">
        <v>10</v>
      </c>
      <c r="S246" s="614">
        <v>10</v>
      </c>
      <c r="T246" s="145"/>
      <c r="U246" s="1026" t="s">
        <v>892</v>
      </c>
      <c r="V246" s="58"/>
    </row>
    <row r="247" spans="6:22" ht="26.25" thickBot="1" x14ac:dyDescent="0.3">
      <c r="F247" s="101"/>
      <c r="G247" s="574" t="s">
        <v>514</v>
      </c>
      <c r="H247" s="1068">
        <v>137</v>
      </c>
      <c r="I247" s="1060" t="s">
        <v>334</v>
      </c>
      <c r="J247" s="567">
        <v>9650847838</v>
      </c>
      <c r="K247" s="783" t="s">
        <v>324</v>
      </c>
      <c r="L247" s="948">
        <v>45312</v>
      </c>
      <c r="M247" s="584"/>
      <c r="N247" s="584"/>
      <c r="O247" s="584"/>
      <c r="P247" s="584"/>
      <c r="Q247" s="585"/>
      <c r="R247" s="584"/>
      <c r="S247" s="584"/>
      <c r="T247" s="367"/>
      <c r="U247" s="1034"/>
      <c r="V247" s="58"/>
    </row>
    <row r="248" spans="6:22" ht="26.25" thickBot="1" x14ac:dyDescent="0.3">
      <c r="F248" s="518">
        <v>49</v>
      </c>
      <c r="G248" s="1057" t="s">
        <v>532</v>
      </c>
      <c r="H248" s="1068">
        <v>140</v>
      </c>
      <c r="I248" s="1037" t="s">
        <v>328</v>
      </c>
      <c r="J248" s="299" t="s">
        <v>329</v>
      </c>
      <c r="K248" s="716"/>
      <c r="L248" s="716"/>
      <c r="M248" s="1029" t="s">
        <v>102</v>
      </c>
      <c r="N248" s="562" t="s">
        <v>231</v>
      </c>
      <c r="O248" s="1030"/>
      <c r="P248" s="621">
        <v>31597</v>
      </c>
      <c r="Q248" s="306">
        <v>46906</v>
      </c>
      <c r="R248" s="601">
        <v>5</v>
      </c>
      <c r="S248" s="925">
        <v>5</v>
      </c>
      <c r="T248" s="145"/>
      <c r="U248" s="1026" t="s">
        <v>890</v>
      </c>
    </row>
    <row r="249" spans="6:22" ht="26.25" thickBot="1" x14ac:dyDescent="0.3">
      <c r="F249" s="15"/>
      <c r="G249" s="1058" t="s">
        <v>514</v>
      </c>
      <c r="H249" s="1068">
        <v>141</v>
      </c>
      <c r="I249" s="963" t="s">
        <v>547</v>
      </c>
      <c r="J249" s="127">
        <v>9679066332</v>
      </c>
      <c r="K249" s="936" t="s">
        <v>632</v>
      </c>
      <c r="L249" s="937">
        <v>47127</v>
      </c>
      <c r="M249" s="92" t="s">
        <v>102</v>
      </c>
      <c r="N249" s="92" t="s">
        <v>231</v>
      </c>
      <c r="O249" s="92"/>
      <c r="P249" s="99">
        <v>883198</v>
      </c>
      <c r="Q249" s="208">
        <v>47345</v>
      </c>
      <c r="R249" s="92">
        <v>5</v>
      </c>
      <c r="S249" s="92">
        <v>5</v>
      </c>
      <c r="T249" s="367"/>
      <c r="U249" s="1031" t="s">
        <v>890</v>
      </c>
    </row>
    <row r="250" spans="6:22" ht="27" thickBot="1" x14ac:dyDescent="0.3">
      <c r="F250" s="15"/>
      <c r="G250" s="573"/>
      <c r="H250" s="1068">
        <v>142</v>
      </c>
      <c r="I250" s="880" t="s">
        <v>615</v>
      </c>
      <c r="J250" s="226">
        <v>9563652158</v>
      </c>
      <c r="K250" s="126" t="s">
        <v>575</v>
      </c>
      <c r="L250" s="715">
        <v>45460</v>
      </c>
      <c r="M250" s="92" t="s">
        <v>23</v>
      </c>
      <c r="N250" s="92" t="s">
        <v>231</v>
      </c>
      <c r="O250" s="92"/>
      <c r="P250" s="92">
        <v>1054371</v>
      </c>
      <c r="Q250" s="208">
        <v>46906</v>
      </c>
      <c r="R250" s="92">
        <v>5</v>
      </c>
      <c r="S250" s="92">
        <v>5</v>
      </c>
      <c r="T250" s="145"/>
      <c r="U250" s="1031" t="s">
        <v>890</v>
      </c>
    </row>
    <row r="251" spans="6:22" ht="25.5" thickBot="1" x14ac:dyDescent="0.3">
      <c r="F251" s="15"/>
      <c r="G251" s="349"/>
      <c r="H251" s="1068">
        <v>143</v>
      </c>
      <c r="I251" s="1032" t="s">
        <v>614</v>
      </c>
      <c r="J251" s="1033">
        <v>9483505762</v>
      </c>
      <c r="K251" s="771" t="s">
        <v>37</v>
      </c>
      <c r="L251" s="771"/>
      <c r="M251" s="584"/>
      <c r="N251" s="584"/>
      <c r="O251" s="584"/>
      <c r="P251" s="584"/>
      <c r="Q251" s="585"/>
      <c r="R251" s="584"/>
      <c r="S251" s="584"/>
      <c r="T251" s="145"/>
      <c r="U251" s="1034"/>
    </row>
    <row r="252" spans="6:22" ht="26.25" thickBot="1" x14ac:dyDescent="0.3">
      <c r="F252" s="518">
        <v>51</v>
      </c>
      <c r="G252" s="213" t="s">
        <v>636</v>
      </c>
      <c r="H252" s="1068">
        <v>145</v>
      </c>
      <c r="I252" s="882" t="s">
        <v>692</v>
      </c>
      <c r="J252" s="220">
        <v>9556496640</v>
      </c>
      <c r="K252" s="756" t="s">
        <v>697</v>
      </c>
      <c r="L252" s="756">
        <v>45555</v>
      </c>
      <c r="M252" s="144" t="s">
        <v>200</v>
      </c>
      <c r="N252" s="144" t="s">
        <v>198</v>
      </c>
      <c r="O252" s="144" t="s">
        <v>103</v>
      </c>
      <c r="P252" s="210">
        <v>30122</v>
      </c>
      <c r="Q252" s="209">
        <v>46906</v>
      </c>
      <c r="R252" s="144">
        <v>5</v>
      </c>
      <c r="S252" s="144">
        <v>5</v>
      </c>
      <c r="T252" s="145"/>
      <c r="U252" s="1006" t="s">
        <v>890</v>
      </c>
      <c r="V252" s="58"/>
    </row>
    <row r="253" spans="6:22" ht="15.75" thickBot="1" x14ac:dyDescent="0.3">
      <c r="F253" s="17"/>
      <c r="G253" s="69" t="s">
        <v>514</v>
      </c>
      <c r="H253" s="40"/>
      <c r="I253" s="879"/>
      <c r="J253" s="221"/>
      <c r="K253" s="760"/>
      <c r="L253" s="760"/>
      <c r="M253" s="147"/>
      <c r="N253" s="147"/>
      <c r="O253" s="147"/>
      <c r="P253" s="147"/>
      <c r="Q253" s="1100"/>
      <c r="R253" s="147"/>
      <c r="S253" s="1101"/>
      <c r="T253" s="145"/>
      <c r="U253" s="1000"/>
      <c r="V253" s="58"/>
    </row>
    <row r="254" spans="6:22" ht="26.25" thickBot="1" x14ac:dyDescent="0.3">
      <c r="F254" s="518">
        <v>37</v>
      </c>
      <c r="G254" s="347" t="s">
        <v>700</v>
      </c>
      <c r="H254" s="1067">
        <v>110</v>
      </c>
      <c r="I254" s="1037" t="s">
        <v>325</v>
      </c>
      <c r="J254" s="299" t="s">
        <v>326</v>
      </c>
      <c r="K254" s="716" t="s">
        <v>327</v>
      </c>
      <c r="L254" s="716">
        <v>45739</v>
      </c>
      <c r="M254" s="614" t="s">
        <v>23</v>
      </c>
      <c r="N254" s="614" t="s">
        <v>43</v>
      </c>
      <c r="O254" s="614" t="s">
        <v>176</v>
      </c>
      <c r="P254" s="405" t="s">
        <v>704</v>
      </c>
      <c r="Q254" s="615">
        <v>48624</v>
      </c>
      <c r="R254" s="614">
        <v>10</v>
      </c>
      <c r="S254" s="616">
        <v>10</v>
      </c>
      <c r="T254" s="58"/>
      <c r="U254" s="1006" t="s">
        <v>896</v>
      </c>
      <c r="V254" s="58"/>
    </row>
    <row r="255" spans="6:22" ht="26.25" thickBot="1" x14ac:dyDescent="0.3">
      <c r="F255" s="102"/>
      <c r="G255" s="574"/>
      <c r="H255" s="1068">
        <v>111</v>
      </c>
      <c r="I255" s="849" t="s">
        <v>910</v>
      </c>
      <c r="J255" s="315">
        <v>9270880915</v>
      </c>
      <c r="K255" s="796"/>
      <c r="L255" s="749"/>
      <c r="M255" s="374"/>
      <c r="N255" s="374"/>
      <c r="O255" s="374"/>
      <c r="P255" s="412"/>
      <c r="Q255" s="628"/>
      <c r="R255" s="374"/>
      <c r="S255" s="376"/>
      <c r="T255" s="58"/>
      <c r="U255" s="1000"/>
      <c r="V255" s="58"/>
    </row>
  </sheetData>
  <mergeCells count="17">
    <mergeCell ref="J8:P8"/>
    <mergeCell ref="B8:B9"/>
    <mergeCell ref="C8:C9"/>
    <mergeCell ref="D8:D9"/>
    <mergeCell ref="E8:E9"/>
    <mergeCell ref="F8:F9"/>
    <mergeCell ref="G8:H8"/>
    <mergeCell ref="E131:R131"/>
    <mergeCell ref="E132:R132"/>
    <mergeCell ref="R135:S135"/>
    <mergeCell ref="E136:E137"/>
    <mergeCell ref="F136:F137"/>
    <mergeCell ref="G136:G137"/>
    <mergeCell ref="H136:H137"/>
    <mergeCell ref="I136:I137"/>
    <mergeCell ref="J136:K136"/>
    <mergeCell ref="L136:R136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2504A-24F2-4BA7-A61F-1882395B26D4}">
  <dimension ref="B1:F16"/>
  <sheetViews>
    <sheetView workbookViewId="0">
      <selection activeCell="D6" sqref="D6"/>
    </sheetView>
  </sheetViews>
  <sheetFormatPr defaultRowHeight="15" x14ac:dyDescent="0.25"/>
  <cols>
    <col min="2" max="2" width="26.140625" customWidth="1"/>
    <col min="3" max="3" width="4.28515625" customWidth="1"/>
    <col min="4" max="4" width="28.140625" bestFit="1" customWidth="1"/>
    <col min="5" max="5" width="14.85546875" customWidth="1"/>
    <col min="6" max="6" width="17.140625" customWidth="1"/>
  </cols>
  <sheetData>
    <row r="1" spans="2:6" ht="15.75" thickBot="1" x14ac:dyDescent="0.3">
      <c r="B1" t="s">
        <v>858</v>
      </c>
    </row>
    <row r="2" spans="2:6" ht="18.75" thickBot="1" x14ac:dyDescent="0.3">
      <c r="B2" s="824"/>
      <c r="C2" s="825"/>
      <c r="D2" s="826" t="s">
        <v>822</v>
      </c>
      <c r="E2" s="825"/>
      <c r="F2" s="827"/>
    </row>
    <row r="5" spans="2:6" ht="15.75" thickBot="1" x14ac:dyDescent="0.3">
      <c r="D5" s="692" t="s">
        <v>821</v>
      </c>
    </row>
    <row r="6" spans="2:6" ht="16.5" thickBot="1" x14ac:dyDescent="0.3">
      <c r="B6" s="693" t="s">
        <v>407</v>
      </c>
      <c r="C6" s="694">
        <v>1</v>
      </c>
      <c r="D6" s="934">
        <v>931115</v>
      </c>
      <c r="E6" s="149" t="s">
        <v>231</v>
      </c>
      <c r="F6" s="149" t="s">
        <v>624</v>
      </c>
    </row>
    <row r="7" spans="2:6" ht="16.5" thickBot="1" x14ac:dyDescent="0.3">
      <c r="C7" s="694">
        <v>2</v>
      </c>
      <c r="D7" s="935">
        <v>1084837</v>
      </c>
      <c r="E7" s="150" t="s">
        <v>231</v>
      </c>
      <c r="F7" s="149" t="s">
        <v>624</v>
      </c>
    </row>
    <row r="8" spans="2:6" ht="16.5" thickBot="1" x14ac:dyDescent="0.3">
      <c r="C8" s="694">
        <v>3</v>
      </c>
      <c r="D8" s="935">
        <v>1288736</v>
      </c>
      <c r="E8" s="150" t="s">
        <v>231</v>
      </c>
      <c r="F8" s="149" t="s">
        <v>624</v>
      </c>
    </row>
    <row r="9" spans="2:6" ht="16.5" thickBot="1" x14ac:dyDescent="0.3">
      <c r="C9" s="694">
        <v>4</v>
      </c>
      <c r="D9" s="935" t="s">
        <v>857</v>
      </c>
      <c r="E9" s="150" t="s">
        <v>231</v>
      </c>
      <c r="F9" s="149" t="s">
        <v>624</v>
      </c>
    </row>
    <row r="10" spans="2:6" ht="15.75" thickBot="1" x14ac:dyDescent="0.3">
      <c r="C10" s="682"/>
      <c r="D10" s="672"/>
    </row>
    <row r="11" spans="2:6" ht="16.5" thickBot="1" x14ac:dyDescent="0.3">
      <c r="B11" s="695" t="s">
        <v>405</v>
      </c>
      <c r="C11" s="696">
        <v>1</v>
      </c>
      <c r="D11" s="932" t="s">
        <v>855</v>
      </c>
      <c r="E11" s="125" t="s">
        <v>198</v>
      </c>
      <c r="F11" s="125" t="s">
        <v>621</v>
      </c>
    </row>
    <row r="12" spans="2:6" ht="16.5" thickBot="1" x14ac:dyDescent="0.3">
      <c r="C12" s="696">
        <v>2</v>
      </c>
      <c r="D12" s="933">
        <v>1196780</v>
      </c>
      <c r="E12" s="150" t="s">
        <v>198</v>
      </c>
      <c r="F12" s="149" t="s">
        <v>624</v>
      </c>
    </row>
    <row r="13" spans="2:6" ht="16.5" thickBot="1" x14ac:dyDescent="0.3">
      <c r="C13" s="696">
        <v>3</v>
      </c>
      <c r="D13" s="933">
        <v>973250</v>
      </c>
      <c r="E13" s="150" t="s">
        <v>198</v>
      </c>
      <c r="F13" s="149" t="s">
        <v>624</v>
      </c>
    </row>
    <row r="14" spans="2:6" ht="16.5" thickBot="1" x14ac:dyDescent="0.3">
      <c r="C14" s="696">
        <v>4</v>
      </c>
      <c r="D14" s="933">
        <v>983603</v>
      </c>
      <c r="E14" s="150" t="s">
        <v>198</v>
      </c>
      <c r="F14" s="149" t="s">
        <v>624</v>
      </c>
    </row>
    <row r="15" spans="2:6" ht="16.5" thickBot="1" x14ac:dyDescent="0.3">
      <c r="C15" s="696">
        <v>5</v>
      </c>
      <c r="D15" s="933" t="s">
        <v>856</v>
      </c>
      <c r="E15" s="150" t="s">
        <v>198</v>
      </c>
      <c r="F15" s="149" t="s">
        <v>624</v>
      </c>
    </row>
    <row r="16" spans="2:6" x14ac:dyDescent="0.25">
      <c r="C16" s="682"/>
      <c r="D16" s="67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MARCH</vt:lpstr>
      <vt:lpstr>Sheet1</vt:lpstr>
      <vt:lpstr>PULL OUT .</vt:lpstr>
      <vt:lpstr>FA-RETURNED TO GHQ</vt:lpstr>
      <vt:lpstr>MARCH!Print_Area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Dasia Tagum</dc:creator>
  <cp:lastModifiedBy>Dasia Tagum</cp:lastModifiedBy>
  <cp:lastPrinted>2026-02-25T01:12:31Z</cp:lastPrinted>
  <dcterms:created xsi:type="dcterms:W3CDTF">2022-05-02T01:41:31Z</dcterms:created>
  <dcterms:modified xsi:type="dcterms:W3CDTF">2026-03-31T05:57:40Z</dcterms:modified>
</cp:coreProperties>
</file>